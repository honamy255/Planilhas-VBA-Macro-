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showHorizontalScroll="0" showVerticalScroll="0" showSheetTabs="0" xWindow="240" yWindow="60" windowWidth="20055" windowHeight="7950" tabRatio="767"/>
  </bookViews>
  <sheets>
    <sheet name="Inicio" sheetId="6" r:id="rId1"/>
    <sheet name="Abrir" sheetId="12" r:id="rId2"/>
    <sheet name="caixa livre" sheetId="2" r:id="rId3"/>
    <sheet name="caixa" sheetId="3" r:id="rId4"/>
    <sheet name="quantidade" sheetId="14" r:id="rId5"/>
    <sheet name="BDvalores" sheetId="5" r:id="rId6"/>
    <sheet name="Cadservicos" sheetId="8" r:id="rId7"/>
    <sheet name="BDserviços" sheetId="4" r:id="rId8"/>
    <sheet name="Cadcliente" sheetId="1" r:id="rId9"/>
    <sheet name="BDcliente" sheetId="7" r:id="rId10"/>
    <sheet name="codigo" sheetId="13" r:id="rId11"/>
    <sheet name="Fechamento" sheetId="11" r:id="rId12"/>
  </sheets>
  <calcPr calcId="124519"/>
</workbook>
</file>

<file path=xl/calcChain.xml><?xml version="1.0" encoding="utf-8"?>
<calcChain xmlns="http://schemas.openxmlformats.org/spreadsheetml/2006/main">
  <c r="Q7" i="3"/>
  <c r="Q11" s="1"/>
  <c r="C8" i="11"/>
  <c r="I9" i="3"/>
  <c r="J14" i="12"/>
  <c r="K15" i="14"/>
  <c r="K18" s="1"/>
  <c r="G15"/>
  <c r="G13"/>
  <c r="M11" i="3"/>
  <c r="I11"/>
  <c r="I7"/>
</calcChain>
</file>

<file path=xl/sharedStrings.xml><?xml version="1.0" encoding="utf-8"?>
<sst xmlns="http://schemas.openxmlformats.org/spreadsheetml/2006/main" count="59" uniqueCount="41">
  <si>
    <t>Operador :</t>
  </si>
  <si>
    <t>Troco :</t>
  </si>
  <si>
    <t xml:space="preserve">      Caixa :</t>
  </si>
  <si>
    <t xml:space="preserve">       Data :</t>
  </si>
  <si>
    <t xml:space="preserve">     Troco :</t>
  </si>
  <si>
    <t>Itens lançados :</t>
  </si>
  <si>
    <t>Menu:</t>
  </si>
  <si>
    <t>Codigo de Barras:</t>
  </si>
  <si>
    <t>Codigo de barra</t>
  </si>
  <si>
    <t>Descrição</t>
  </si>
  <si>
    <t>Quantidade</t>
  </si>
  <si>
    <t>Valor</t>
  </si>
  <si>
    <t>Codigo de Barra:</t>
  </si>
  <si>
    <t xml:space="preserve">           Descrição :</t>
  </si>
  <si>
    <t xml:space="preserve">        Quantidade :</t>
  </si>
  <si>
    <t>Valor :</t>
  </si>
  <si>
    <t>Total  :</t>
  </si>
  <si>
    <t>Codigo de barras :</t>
  </si>
  <si>
    <t>Descrição :</t>
  </si>
  <si>
    <t xml:space="preserve">Quantidade : </t>
  </si>
  <si>
    <t>Menu</t>
  </si>
  <si>
    <t xml:space="preserve">Codigo de Barras </t>
  </si>
  <si>
    <t xml:space="preserve">Descrição </t>
  </si>
  <si>
    <t>Nome :</t>
  </si>
  <si>
    <t>End :</t>
  </si>
  <si>
    <t>Placa :</t>
  </si>
  <si>
    <t>Descrição do veiculo :</t>
  </si>
  <si>
    <t>Tel :</t>
  </si>
  <si>
    <t>E-mail :</t>
  </si>
  <si>
    <t>Cel :</t>
  </si>
  <si>
    <t xml:space="preserve"> </t>
  </si>
  <si>
    <t>CPF :</t>
  </si>
  <si>
    <t>Dinheiro :</t>
  </si>
  <si>
    <t>normal</t>
  </si>
  <si>
    <t>moeda</t>
  </si>
  <si>
    <t xml:space="preserve">        Quantidade2  :</t>
  </si>
  <si>
    <t>Fechamento do caixa</t>
  </si>
  <si>
    <t>Caixa</t>
  </si>
  <si>
    <t>Data</t>
  </si>
  <si>
    <t>Troco</t>
  </si>
  <si>
    <t>Total de vendas finalizadas por hoje</t>
  </si>
</sst>
</file>

<file path=xl/styles.xml><?xml version="1.0" encoding="utf-8"?>
<styleSheet xmlns="http://schemas.openxmlformats.org/spreadsheetml/2006/main">
  <numFmts count="5">
    <numFmt numFmtId="164" formatCode="&quot;R$&quot;#,##0_);\(&quot;R$&quot;#,##0\)"/>
    <numFmt numFmtId="165" formatCode="&quot;R$&quot;#,##0_);[Red]\(&quot;R$&quot;#,##0\)"/>
    <numFmt numFmtId="166" formatCode="_(&quot;R$&quot;* #,##0.00_);_(&quot;R$&quot;* \(#,##0.00\);_(&quot;R$&quot;* &quot;-&quot;??_);_(@_)"/>
    <numFmt numFmtId="167" formatCode="&quot;R$&quot;\ #,##0.00"/>
    <numFmt numFmtId="168" formatCode="&quot;R$&quot;#,##0.00"/>
  </numFmts>
  <fonts count="14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24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sz val="22"/>
      <color rgb="FF92D05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26"/>
      <color rgb="FF92D050"/>
      <name val="Calibri"/>
      <family val="2"/>
      <scheme val="minor"/>
    </font>
    <font>
      <b/>
      <sz val="28"/>
      <color theme="1"/>
      <name val="Times New Roman"/>
      <family val="1"/>
    </font>
    <font>
      <b/>
      <sz val="48"/>
      <color rgb="FFFF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166" fontId="10" fillId="0" borderId="0" applyFont="0" applyFill="0" applyBorder="0" applyAlignment="0" applyProtection="0"/>
  </cellStyleXfs>
  <cellXfs count="15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0" xfId="0" applyFill="1"/>
    <xf numFmtId="0" fontId="1" fillId="4" borderId="0" xfId="0" applyFont="1" applyFill="1"/>
    <xf numFmtId="0" fontId="2" fillId="4" borderId="10" xfId="0" applyFont="1" applyFill="1" applyBorder="1" applyAlignment="1">
      <alignment wrapText="1"/>
    </xf>
    <xf numFmtId="0" fontId="3" fillId="2" borderId="2" xfId="0" applyFont="1" applyFill="1" applyBorder="1"/>
    <xf numFmtId="0" fontId="5" fillId="2" borderId="0" xfId="0" applyFont="1" applyFill="1" applyBorder="1"/>
    <xf numFmtId="0" fontId="0" fillId="6" borderId="0" xfId="0" applyFill="1"/>
    <xf numFmtId="0" fontId="5" fillId="3" borderId="0" xfId="0" applyFont="1" applyFill="1" applyBorder="1"/>
    <xf numFmtId="0" fontId="0" fillId="3" borderId="0" xfId="0" applyFill="1"/>
    <xf numFmtId="0" fontId="0" fillId="7" borderId="12" xfId="0" applyFill="1" applyBorder="1" applyAlignment="1">
      <alignment horizontal="center"/>
    </xf>
    <xf numFmtId="0" fontId="0" fillId="6" borderId="0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5" fillId="8" borderId="1" xfId="0" applyFont="1" applyFill="1" applyBorder="1"/>
    <xf numFmtId="0" fontId="5" fillId="8" borderId="2" xfId="0" applyFont="1" applyFill="1" applyBorder="1"/>
    <xf numFmtId="0" fontId="5" fillId="8" borderId="4" xfId="0" applyFont="1" applyFill="1" applyBorder="1"/>
    <xf numFmtId="0" fontId="5" fillId="8" borderId="0" xfId="0" applyFont="1" applyFill="1" applyBorder="1"/>
    <xf numFmtId="0" fontId="5" fillId="7" borderId="12" xfId="0" applyFont="1" applyFill="1" applyBorder="1" applyAlignment="1">
      <alignment horizontal="center"/>
    </xf>
    <xf numFmtId="168" fontId="0" fillId="0" borderId="0" xfId="0" applyNumberFormat="1"/>
    <xf numFmtId="166" fontId="0" fillId="7" borderId="12" xfId="2" applyFont="1" applyFill="1" applyBorder="1" applyAlignment="1">
      <alignment horizontal="left"/>
    </xf>
    <xf numFmtId="166" fontId="0" fillId="0" borderId="0" xfId="2" applyFont="1" applyAlignment="1">
      <alignment horizontal="left"/>
    </xf>
    <xf numFmtId="0" fontId="0" fillId="0" borderId="0" xfId="0" applyAlignment="1">
      <alignment horizontal="center"/>
    </xf>
    <xf numFmtId="0" fontId="9" fillId="0" borderId="0" xfId="1" applyAlignment="1">
      <alignment horizontal="center"/>
    </xf>
    <xf numFmtId="0" fontId="0" fillId="2" borderId="1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0" xfId="0" applyFill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166" fontId="0" fillId="0" borderId="0" xfId="2" applyFont="1"/>
    <xf numFmtId="166" fontId="0" fillId="4" borderId="0" xfId="2" applyFont="1" applyFill="1"/>
    <xf numFmtId="0" fontId="0" fillId="2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65" fontId="0" fillId="2" borderId="3" xfId="0" applyNumberFormat="1" applyFill="1" applyBorder="1"/>
    <xf numFmtId="165" fontId="0" fillId="2" borderId="5" xfId="0" applyNumberFormat="1" applyFill="1" applyBorder="1"/>
    <xf numFmtId="165" fontId="0" fillId="2" borderId="8" xfId="0" applyNumberFormat="1" applyFill="1" applyBorder="1"/>
    <xf numFmtId="165" fontId="0" fillId="4" borderId="0" xfId="0" applyNumberFormat="1" applyFill="1"/>
    <xf numFmtId="165" fontId="0" fillId="4" borderId="0" xfId="2" applyNumberFormat="1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12" xfId="0" applyFill="1" applyBorder="1" applyAlignment="1"/>
    <xf numFmtId="0" fontId="3" fillId="2" borderId="0" xfId="0" applyFont="1" applyFill="1" applyBorder="1" applyAlignment="1">
      <alignment horizontal="center" wrapText="1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14" fontId="1" fillId="5" borderId="9" xfId="0" applyNumberFormat="1" applyFont="1" applyFill="1" applyBorder="1" applyAlignment="1">
      <alignment horizontal="center"/>
    </xf>
    <xf numFmtId="168" fontId="1" fillId="5" borderId="9" xfId="0" applyNumberFormat="1" applyFont="1" applyFill="1" applyBorder="1" applyAlignment="1">
      <alignment horizontal="center"/>
    </xf>
    <xf numFmtId="168" fontId="1" fillId="5" borderId="11" xfId="0" applyNumberFormat="1" applyFont="1" applyFill="1" applyBorder="1" applyAlignment="1">
      <alignment horizontal="center"/>
    </xf>
    <xf numFmtId="0" fontId="3" fillId="4" borderId="10" xfId="0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left"/>
    </xf>
    <xf numFmtId="0" fontId="3" fillId="3" borderId="9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 wrapText="1"/>
    </xf>
    <xf numFmtId="0" fontId="6" fillId="5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167" fontId="0" fillId="5" borderId="9" xfId="0" applyNumberFormat="1" applyFill="1" applyBorder="1" applyAlignment="1">
      <alignment horizontal="center"/>
    </xf>
    <xf numFmtId="167" fontId="0" fillId="5" borderId="11" xfId="0" applyNumberForma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5" fillId="2" borderId="0" xfId="0" applyFont="1" applyFill="1" applyBorder="1" applyAlignment="1">
      <alignment horizontal="center" wrapText="1"/>
    </xf>
    <xf numFmtId="164" fontId="11" fillId="5" borderId="1" xfId="2" applyNumberFormat="1" applyFont="1" applyFill="1" applyBorder="1" applyAlignment="1">
      <alignment horizontal="center"/>
    </xf>
    <xf numFmtId="164" fontId="11" fillId="5" borderId="3" xfId="2" applyNumberFormat="1" applyFont="1" applyFill="1" applyBorder="1" applyAlignment="1">
      <alignment horizontal="center"/>
    </xf>
    <xf numFmtId="164" fontId="11" fillId="5" borderId="6" xfId="2" applyNumberFormat="1" applyFont="1" applyFill="1" applyBorder="1" applyAlignment="1">
      <alignment horizontal="center"/>
    </xf>
    <xf numFmtId="164" fontId="11" fillId="5" borderId="8" xfId="2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168" fontId="8" fillId="5" borderId="1" xfId="2" applyNumberFormat="1" applyFont="1" applyFill="1" applyBorder="1" applyAlignment="1">
      <alignment horizontal="center"/>
    </xf>
    <xf numFmtId="168" fontId="8" fillId="5" borderId="3" xfId="2" applyNumberFormat="1" applyFont="1" applyFill="1" applyBorder="1" applyAlignment="1">
      <alignment horizontal="center"/>
    </xf>
    <xf numFmtId="168" fontId="8" fillId="5" borderId="6" xfId="2" applyNumberFormat="1" applyFont="1" applyFill="1" applyBorder="1" applyAlignment="1">
      <alignment horizontal="center"/>
    </xf>
    <xf numFmtId="168" fontId="8" fillId="5" borderId="8" xfId="2" applyNumberFormat="1" applyFont="1" applyFill="1" applyBorder="1" applyAlignment="1">
      <alignment horizontal="center"/>
    </xf>
    <xf numFmtId="165" fontId="7" fillId="5" borderId="1" xfId="0" applyNumberFormat="1" applyFont="1" applyFill="1" applyBorder="1" applyAlignment="1">
      <alignment horizontal="center"/>
    </xf>
    <xf numFmtId="165" fontId="7" fillId="5" borderId="3" xfId="0" applyNumberFormat="1" applyFont="1" applyFill="1" applyBorder="1" applyAlignment="1">
      <alignment horizontal="center"/>
    </xf>
    <xf numFmtId="165" fontId="7" fillId="5" borderId="6" xfId="0" applyNumberFormat="1" applyFont="1" applyFill="1" applyBorder="1" applyAlignment="1">
      <alignment horizontal="center"/>
    </xf>
    <xf numFmtId="165" fontId="7" fillId="5" borderId="8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167" fontId="0" fillId="5" borderId="9" xfId="0" applyNumberFormat="1" applyFont="1" applyFill="1" applyBorder="1" applyAlignment="1">
      <alignment horizontal="center"/>
    </xf>
    <xf numFmtId="167" fontId="0" fillId="5" borderId="11" xfId="0" applyNumberFormat="1" applyFont="1" applyFill="1" applyBorder="1" applyAlignment="1">
      <alignment horizontal="center"/>
    </xf>
    <xf numFmtId="167" fontId="0" fillId="5" borderId="10" xfId="0" applyNumberFormat="1" applyFill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left"/>
    </xf>
    <xf numFmtId="2" fontId="0" fillId="5" borderId="9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9" fillId="5" borderId="9" xfId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8" fontId="13" fillId="4" borderId="1" xfId="0" applyNumberFormat="1" applyFont="1" applyFill="1" applyBorder="1" applyAlignment="1">
      <alignment horizontal="center" vertical="center"/>
    </xf>
    <xf numFmtId="168" fontId="13" fillId="4" borderId="2" xfId="0" applyNumberFormat="1" applyFont="1" applyFill="1" applyBorder="1" applyAlignment="1">
      <alignment horizontal="center" vertical="center"/>
    </xf>
    <xf numFmtId="168" fontId="13" fillId="4" borderId="3" xfId="0" applyNumberFormat="1" applyFont="1" applyFill="1" applyBorder="1" applyAlignment="1">
      <alignment horizontal="center" vertical="center"/>
    </xf>
    <xf numFmtId="168" fontId="13" fillId="4" borderId="4" xfId="0" applyNumberFormat="1" applyFont="1" applyFill="1" applyBorder="1" applyAlignment="1">
      <alignment horizontal="center" vertical="center"/>
    </xf>
    <xf numFmtId="168" fontId="13" fillId="4" borderId="0" xfId="0" applyNumberFormat="1" applyFont="1" applyFill="1" applyBorder="1" applyAlignment="1">
      <alignment horizontal="center" vertical="center"/>
    </xf>
    <xf numFmtId="168" fontId="13" fillId="4" borderId="5" xfId="0" applyNumberFormat="1" applyFont="1" applyFill="1" applyBorder="1" applyAlignment="1">
      <alignment horizontal="center" vertical="center"/>
    </xf>
    <xf numFmtId="168" fontId="13" fillId="4" borderId="6" xfId="0" applyNumberFormat="1" applyFont="1" applyFill="1" applyBorder="1" applyAlignment="1">
      <alignment horizontal="center" vertical="center"/>
    </xf>
    <xf numFmtId="168" fontId="13" fillId="4" borderId="7" xfId="0" applyNumberFormat="1" applyFont="1" applyFill="1" applyBorder="1" applyAlignment="1">
      <alignment horizontal="center" vertical="center"/>
    </xf>
    <xf numFmtId="168" fontId="13" fillId="4" borderId="8" xfId="0" applyNumberFormat="1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0" borderId="11" xfId="0" applyNumberFormat="1" applyBorder="1" applyAlignment="1">
      <alignment horizontal="center"/>
    </xf>
  </cellXfs>
  <cellStyles count="3">
    <cellStyle name="Hyperlink" xfId="1" builtinId="8"/>
    <cellStyle name="Mo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</xdr:row>
      <xdr:rowOff>38100</xdr:rowOff>
    </xdr:from>
    <xdr:to>
      <xdr:col>6</xdr:col>
      <xdr:colOff>581025</xdr:colOff>
      <xdr:row>6</xdr:row>
      <xdr:rowOff>142875</xdr:rowOff>
    </xdr:to>
    <xdr:sp macro="[0]!abrir_caixa" textlink="">
      <xdr:nvSpPr>
        <xdr:cNvPr id="5" name="Retângulo 4"/>
        <xdr:cNvSpPr/>
      </xdr:nvSpPr>
      <xdr:spPr>
        <a:xfrm>
          <a:off x="1257300" y="609600"/>
          <a:ext cx="2981325" cy="676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Abrir</a:t>
          </a:r>
          <a:r>
            <a:rPr lang="pt-BR" sz="3200" baseline="0"/>
            <a:t> Caixa</a:t>
          </a:r>
          <a:endParaRPr lang="pt-BR" sz="3200"/>
        </a:p>
      </xdr:txBody>
    </xdr:sp>
    <xdr:clientData/>
  </xdr:twoCellAnchor>
  <xdr:twoCellAnchor>
    <xdr:from>
      <xdr:col>2</xdr:col>
      <xdr:colOff>38100</xdr:colOff>
      <xdr:row>7</xdr:row>
      <xdr:rowOff>47625</xdr:rowOff>
    </xdr:from>
    <xdr:to>
      <xdr:col>6</xdr:col>
      <xdr:colOff>581025</xdr:colOff>
      <xdr:row>10</xdr:row>
      <xdr:rowOff>152400</xdr:rowOff>
    </xdr:to>
    <xdr:sp macro="[0]!cliente" textlink="">
      <xdr:nvSpPr>
        <xdr:cNvPr id="6" name="Retângulo 5"/>
        <xdr:cNvSpPr/>
      </xdr:nvSpPr>
      <xdr:spPr>
        <a:xfrm>
          <a:off x="1257300" y="1381125"/>
          <a:ext cx="2981325" cy="676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Cliente</a:t>
          </a:r>
        </a:p>
      </xdr:txBody>
    </xdr:sp>
    <xdr:clientData/>
  </xdr:twoCellAnchor>
  <xdr:twoCellAnchor>
    <xdr:from>
      <xdr:col>2</xdr:col>
      <xdr:colOff>38100</xdr:colOff>
      <xdr:row>15</xdr:row>
      <xdr:rowOff>38100</xdr:rowOff>
    </xdr:from>
    <xdr:to>
      <xdr:col>6</xdr:col>
      <xdr:colOff>581025</xdr:colOff>
      <xdr:row>18</xdr:row>
      <xdr:rowOff>142875</xdr:rowOff>
    </xdr:to>
    <xdr:sp macro="[0]!servicos" textlink="">
      <xdr:nvSpPr>
        <xdr:cNvPr id="8" name="Retângulo 7"/>
        <xdr:cNvSpPr/>
      </xdr:nvSpPr>
      <xdr:spPr>
        <a:xfrm>
          <a:off x="1257300" y="2895600"/>
          <a:ext cx="2981325" cy="676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Serviços</a:t>
          </a:r>
        </a:p>
      </xdr:txBody>
    </xdr:sp>
    <xdr:clientData/>
  </xdr:twoCellAnchor>
  <xdr:twoCellAnchor>
    <xdr:from>
      <xdr:col>2</xdr:col>
      <xdr:colOff>38100</xdr:colOff>
      <xdr:row>19</xdr:row>
      <xdr:rowOff>38100</xdr:rowOff>
    </xdr:from>
    <xdr:to>
      <xdr:col>6</xdr:col>
      <xdr:colOff>581025</xdr:colOff>
      <xdr:row>22</xdr:row>
      <xdr:rowOff>142875</xdr:rowOff>
    </xdr:to>
    <xdr:sp macro="[0]!fechamento" textlink="">
      <xdr:nvSpPr>
        <xdr:cNvPr id="9" name="Retângulo 8"/>
        <xdr:cNvSpPr/>
      </xdr:nvSpPr>
      <xdr:spPr>
        <a:xfrm>
          <a:off x="1257300" y="3657600"/>
          <a:ext cx="2981325" cy="676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Fechamento</a:t>
          </a:r>
        </a:p>
      </xdr:txBody>
    </xdr:sp>
    <xdr:clientData/>
  </xdr:twoCellAnchor>
  <xdr:twoCellAnchor>
    <xdr:from>
      <xdr:col>2</xdr:col>
      <xdr:colOff>38100</xdr:colOff>
      <xdr:row>23</xdr:row>
      <xdr:rowOff>38100</xdr:rowOff>
    </xdr:from>
    <xdr:to>
      <xdr:col>6</xdr:col>
      <xdr:colOff>581025</xdr:colOff>
      <xdr:row>26</xdr:row>
      <xdr:rowOff>142875</xdr:rowOff>
    </xdr:to>
    <xdr:sp macro="[0]!telacheia" textlink="">
      <xdr:nvSpPr>
        <xdr:cNvPr id="10" name="Retângulo 9"/>
        <xdr:cNvSpPr/>
      </xdr:nvSpPr>
      <xdr:spPr>
        <a:xfrm>
          <a:off x="1257300" y="4419600"/>
          <a:ext cx="2981325" cy="6762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3200"/>
            <a:t>Tela</a:t>
          </a:r>
          <a:r>
            <a:rPr lang="pt-BR" sz="3200" baseline="0"/>
            <a:t> Cheia</a:t>
          </a:r>
          <a:endParaRPr lang="pt-BR" sz="3200"/>
        </a:p>
      </xdr:txBody>
    </xdr:sp>
    <xdr:clientData/>
  </xdr:twoCellAnchor>
  <xdr:twoCellAnchor>
    <xdr:from>
      <xdr:col>2</xdr:col>
      <xdr:colOff>47625</xdr:colOff>
      <xdr:row>27</xdr:row>
      <xdr:rowOff>47625</xdr:rowOff>
    </xdr:from>
    <xdr:to>
      <xdr:col>6</xdr:col>
      <xdr:colOff>590550</xdr:colOff>
      <xdr:row>30</xdr:row>
      <xdr:rowOff>152400</xdr:rowOff>
    </xdr:to>
    <xdr:sp macro="[0]!cad_cliente" textlink="">
      <xdr:nvSpPr>
        <xdr:cNvPr id="11" name="Retângulo 10"/>
        <xdr:cNvSpPr/>
      </xdr:nvSpPr>
      <xdr:spPr>
        <a:xfrm>
          <a:off x="1266825" y="5191125"/>
          <a:ext cx="2981325" cy="676275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BD_cliente</a:t>
          </a:r>
        </a:p>
      </xdr:txBody>
    </xdr:sp>
    <xdr:clientData/>
  </xdr:twoCellAnchor>
  <xdr:twoCellAnchor editAs="oneCell">
    <xdr:from>
      <xdr:col>8</xdr:col>
      <xdr:colOff>38100</xdr:colOff>
      <xdr:row>3</xdr:row>
      <xdr:rowOff>38100</xdr:rowOff>
    </xdr:from>
    <xdr:to>
      <xdr:col>19</xdr:col>
      <xdr:colOff>0</xdr:colOff>
      <xdr:row>30</xdr:row>
      <xdr:rowOff>152400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609600"/>
          <a:ext cx="6667500" cy="5257800"/>
        </a:xfrm>
        <a:prstGeom prst="rect">
          <a:avLst/>
        </a:prstGeom>
      </xdr:spPr>
    </xdr:pic>
    <xdr:clientData/>
  </xdr:twoCellAnchor>
  <xdr:oneCellAnchor>
    <xdr:from>
      <xdr:col>8</xdr:col>
      <xdr:colOff>447675</xdr:colOff>
      <xdr:row>16</xdr:row>
      <xdr:rowOff>122076</xdr:rowOff>
    </xdr:from>
    <xdr:ext cx="5758243" cy="1782924"/>
    <xdr:sp macro="" textlink="">
      <xdr:nvSpPr>
        <xdr:cNvPr id="13" name="Retângulo 12"/>
        <xdr:cNvSpPr/>
      </xdr:nvSpPr>
      <xdr:spPr>
        <a:xfrm>
          <a:off x="5324475" y="3170076"/>
          <a:ext cx="5758243" cy="178292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Serviço wallace tec</a:t>
          </a:r>
        </a:p>
        <a:p>
          <a:pPr algn="ctr"/>
          <a:r>
            <a:rPr lang="pt-BR" sz="54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Prime</a:t>
          </a:r>
          <a:r>
            <a:rPr lang="pt-BR" sz="5400" b="1" cap="none" spc="50" baseline="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 1.0</a:t>
          </a:r>
          <a:endParaRPr lang="pt-BR" sz="54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oneCellAnchor>
  <xdr:twoCellAnchor>
    <xdr:from>
      <xdr:col>2</xdr:col>
      <xdr:colOff>28575</xdr:colOff>
      <xdr:row>11</xdr:row>
      <xdr:rowOff>47625</xdr:rowOff>
    </xdr:from>
    <xdr:to>
      <xdr:col>6</xdr:col>
      <xdr:colOff>571500</xdr:colOff>
      <xdr:row>14</xdr:row>
      <xdr:rowOff>152400</xdr:rowOff>
    </xdr:to>
    <xdr:sp macro="[0]!salvar" textlink="">
      <xdr:nvSpPr>
        <xdr:cNvPr id="12" name="Retângulo 11"/>
        <xdr:cNvSpPr/>
      </xdr:nvSpPr>
      <xdr:spPr>
        <a:xfrm>
          <a:off x="1247775" y="2143125"/>
          <a:ext cx="2981325" cy="6762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Salvar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324135</xdr:colOff>
      <xdr:row>2</xdr:row>
      <xdr:rowOff>19589</xdr:rowOff>
    </xdr:from>
    <xdr:ext cx="4917501" cy="937629"/>
    <xdr:sp macro="" textlink="">
      <xdr:nvSpPr>
        <xdr:cNvPr id="2" name="Retângulo 1"/>
        <xdr:cNvSpPr/>
      </xdr:nvSpPr>
      <xdr:spPr>
        <a:xfrm>
          <a:off x="3981735" y="400589"/>
          <a:ext cx="491750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Insira</a:t>
          </a:r>
          <a:r>
            <a:rPr lang="pt-BR" sz="5400" b="1" cap="none" spc="0" baseline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 os Dados !</a:t>
          </a:r>
          <a:endParaRPr lang="pt-BR" sz="54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  <xdr:twoCellAnchor>
    <xdr:from>
      <xdr:col>6</xdr:col>
      <xdr:colOff>57149</xdr:colOff>
      <xdr:row>19</xdr:row>
      <xdr:rowOff>161925</xdr:rowOff>
    </xdr:from>
    <xdr:to>
      <xdr:col>9</xdr:col>
      <xdr:colOff>0</xdr:colOff>
      <xdr:row>23</xdr:row>
      <xdr:rowOff>133349</xdr:rowOff>
    </xdr:to>
    <xdr:sp macro="[0]!inserir_operador" textlink="">
      <xdr:nvSpPr>
        <xdr:cNvPr id="5" name="Retângulo 4"/>
        <xdr:cNvSpPr/>
      </xdr:nvSpPr>
      <xdr:spPr>
        <a:xfrm>
          <a:off x="3714749" y="4019550"/>
          <a:ext cx="1771651" cy="73342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>
              <a:latin typeface="Times New Roman" pitchFamily="18" charset="0"/>
              <a:cs typeface="Times New Roman" pitchFamily="18" charset="0"/>
            </a:rPr>
            <a:t>Inserir</a:t>
          </a:r>
        </a:p>
      </xdr:txBody>
    </xdr:sp>
    <xdr:clientData/>
  </xdr:twoCellAnchor>
  <xdr:twoCellAnchor>
    <xdr:from>
      <xdr:col>9</xdr:col>
      <xdr:colOff>47624</xdr:colOff>
      <xdr:row>19</xdr:row>
      <xdr:rowOff>180974</xdr:rowOff>
    </xdr:from>
    <xdr:to>
      <xdr:col>12</xdr:col>
      <xdr:colOff>0</xdr:colOff>
      <xdr:row>23</xdr:row>
      <xdr:rowOff>133349</xdr:rowOff>
    </xdr:to>
    <xdr:sp macro="[0]!caixa" textlink="">
      <xdr:nvSpPr>
        <xdr:cNvPr id="6" name="Retângulo 5"/>
        <xdr:cNvSpPr/>
      </xdr:nvSpPr>
      <xdr:spPr>
        <a:xfrm>
          <a:off x="5534024" y="4038599"/>
          <a:ext cx="1781176" cy="714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>
              <a:latin typeface="Times New Roman" pitchFamily="18" charset="0"/>
              <a:cs typeface="Times New Roman" pitchFamily="18" charset="0"/>
            </a:rPr>
            <a:t>Abrir</a:t>
          </a:r>
          <a:r>
            <a:rPr lang="pt-BR" sz="2400" baseline="0">
              <a:latin typeface="Times New Roman" pitchFamily="18" charset="0"/>
              <a:cs typeface="Times New Roman" pitchFamily="18" charset="0"/>
            </a:rPr>
            <a:t> Caixa</a:t>
          </a:r>
          <a:endParaRPr lang="pt-BR" sz="24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11</xdr:col>
      <xdr:colOff>0</xdr:colOff>
      <xdr:row>30</xdr:row>
      <xdr:rowOff>0</xdr:rowOff>
    </xdr:from>
    <xdr:to>
      <xdr:col>12</xdr:col>
      <xdr:colOff>38100</xdr:colOff>
      <xdr:row>31</xdr:row>
      <xdr:rowOff>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705600" y="5953125"/>
          <a:ext cx="647700" cy="190500"/>
        </a:xfrm>
        <a:prstGeom prst="rect">
          <a:avLst/>
        </a:prstGeom>
        <a:noFill/>
      </xdr:spPr>
    </xdr:pic>
    <xdr:clientData/>
  </xdr:twoCellAnchor>
  <xdr:twoCellAnchor>
    <xdr:from>
      <xdr:col>12</xdr:col>
      <xdr:colOff>38100</xdr:colOff>
      <xdr:row>20</xdr:row>
      <xdr:rowOff>0</xdr:rowOff>
    </xdr:from>
    <xdr:to>
      <xdr:col>14</xdr:col>
      <xdr:colOff>590550</xdr:colOff>
      <xdr:row>23</xdr:row>
      <xdr:rowOff>133349</xdr:rowOff>
    </xdr:to>
    <xdr:sp macro="[0]!pagina_inicial" textlink="">
      <xdr:nvSpPr>
        <xdr:cNvPr id="8" name="Retângulo 7"/>
        <xdr:cNvSpPr/>
      </xdr:nvSpPr>
      <xdr:spPr>
        <a:xfrm>
          <a:off x="7353300" y="4048125"/>
          <a:ext cx="1771650" cy="704849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>
              <a:latin typeface="Times New Roman" pitchFamily="18" charset="0"/>
              <a:cs typeface="Times New Roman" pitchFamily="18" charset="0"/>
            </a:rPr>
            <a:t>Sair</a:t>
          </a:r>
        </a:p>
      </xdr:txBody>
    </xdr:sp>
    <xdr:clientData/>
  </xdr:twoCellAnchor>
  <xdr:twoCellAnchor editAs="oneCell">
    <xdr:from>
      <xdr:col>11</xdr:col>
      <xdr:colOff>83751</xdr:colOff>
      <xdr:row>11</xdr:row>
      <xdr:rowOff>0</xdr:rowOff>
    </xdr:from>
    <xdr:to>
      <xdr:col>14</xdr:col>
      <xdr:colOff>0</xdr:colOff>
      <xdr:row>16</xdr:row>
      <xdr:rowOff>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9351" y="2133600"/>
          <a:ext cx="1745049" cy="1152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155860</xdr:colOff>
      <xdr:row>3</xdr:row>
      <xdr:rowOff>10064</xdr:rowOff>
    </xdr:from>
    <xdr:ext cx="10031913" cy="2304221"/>
    <xdr:sp macro="" textlink="">
      <xdr:nvSpPr>
        <xdr:cNvPr id="2" name="Retângulo 1"/>
        <xdr:cNvSpPr/>
      </xdr:nvSpPr>
      <xdr:spPr>
        <a:xfrm>
          <a:off x="1375060" y="581564"/>
          <a:ext cx="10031913" cy="230422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5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  <a:latin typeface="Times New Roman" pitchFamily="18" charset="0"/>
              <a:cs typeface="Times New Roman" pitchFamily="18" charset="0"/>
            </a:rPr>
            <a:t>Caixa Livre</a:t>
          </a:r>
        </a:p>
      </xdr:txBody>
    </xdr:sp>
    <xdr:clientData/>
  </xdr:oneCellAnchor>
  <xdr:twoCellAnchor>
    <xdr:from>
      <xdr:col>14</xdr:col>
      <xdr:colOff>466725</xdr:colOff>
      <xdr:row>24</xdr:row>
      <xdr:rowOff>123826</xdr:rowOff>
    </xdr:from>
    <xdr:to>
      <xdr:col>17</xdr:col>
      <xdr:colOff>447675</xdr:colOff>
      <xdr:row>29</xdr:row>
      <xdr:rowOff>19050</xdr:rowOff>
    </xdr:to>
    <xdr:sp macro="[0]!caixa" textlink="">
      <xdr:nvSpPr>
        <xdr:cNvPr id="3" name="Retângulo 2"/>
        <xdr:cNvSpPr/>
      </xdr:nvSpPr>
      <xdr:spPr>
        <a:xfrm>
          <a:off x="9001125" y="4695826"/>
          <a:ext cx="1809750" cy="84772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3200"/>
            <a:t>Ir</a:t>
          </a:r>
        </a:p>
      </xdr:txBody>
    </xdr:sp>
    <xdr:clientData/>
  </xdr:twoCellAnchor>
  <xdr:twoCellAnchor editAs="oneCell">
    <xdr:from>
      <xdr:col>7</xdr:col>
      <xdr:colOff>209550</xdr:colOff>
      <xdr:row>14</xdr:row>
      <xdr:rowOff>38100</xdr:rowOff>
    </xdr:from>
    <xdr:to>
      <xdr:col>13</xdr:col>
      <xdr:colOff>28575</xdr:colOff>
      <xdr:row>29</xdr:row>
      <xdr:rowOff>135731</xdr:rowOff>
    </xdr:to>
    <xdr:pic>
      <xdr:nvPicPr>
        <xdr:cNvPr id="4" name="Imagem 3" descr="caixa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76750" y="2705100"/>
          <a:ext cx="3476625" cy="29551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2</xdr:row>
      <xdr:rowOff>73125</xdr:rowOff>
    </xdr:from>
    <xdr:to>
      <xdr:col>4</xdr:col>
      <xdr:colOff>599849</xdr:colOff>
      <xdr:row>3</xdr:row>
      <xdr:rowOff>98625</xdr:rowOff>
    </xdr:to>
    <xdr:sp macro="[0]!registrar_caixa" textlink="">
      <xdr:nvSpPr>
        <xdr:cNvPr id="3" name="Retângulo 2"/>
        <xdr:cNvSpPr/>
      </xdr:nvSpPr>
      <xdr:spPr>
        <a:xfrm>
          <a:off x="1238249" y="530325"/>
          <a:ext cx="1800000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Registrar</a:t>
          </a:r>
        </a:p>
      </xdr:txBody>
    </xdr:sp>
    <xdr:clientData/>
  </xdr:twoCellAnchor>
  <xdr:twoCellAnchor>
    <xdr:from>
      <xdr:col>2</xdr:col>
      <xdr:colOff>19049</xdr:colOff>
      <xdr:row>4</xdr:row>
      <xdr:rowOff>47625</xdr:rowOff>
    </xdr:from>
    <xdr:to>
      <xdr:col>4</xdr:col>
      <xdr:colOff>599849</xdr:colOff>
      <xdr:row>5</xdr:row>
      <xdr:rowOff>73125</xdr:rowOff>
    </xdr:to>
    <xdr:sp macro="[0]!finalizar" textlink="">
      <xdr:nvSpPr>
        <xdr:cNvPr id="4" name="Retângulo 3"/>
        <xdr:cNvSpPr/>
      </xdr:nvSpPr>
      <xdr:spPr>
        <a:xfrm>
          <a:off x="1238249" y="885825"/>
          <a:ext cx="1800000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  Finalizar	</a:t>
          </a:r>
        </a:p>
      </xdr:txBody>
    </xdr:sp>
    <xdr:clientData/>
  </xdr:twoCellAnchor>
  <xdr:twoCellAnchor>
    <xdr:from>
      <xdr:col>2</xdr:col>
      <xdr:colOff>9299</xdr:colOff>
      <xdr:row>5</xdr:row>
      <xdr:rowOff>222150</xdr:rowOff>
    </xdr:from>
    <xdr:to>
      <xdr:col>4</xdr:col>
      <xdr:colOff>590099</xdr:colOff>
      <xdr:row>7</xdr:row>
      <xdr:rowOff>0</xdr:rowOff>
    </xdr:to>
    <xdr:sp macro="[0]!caixa_livre" textlink="">
      <xdr:nvSpPr>
        <xdr:cNvPr id="5" name="Retângulo 4"/>
        <xdr:cNvSpPr/>
      </xdr:nvSpPr>
      <xdr:spPr>
        <a:xfrm>
          <a:off x="1228499" y="1250850"/>
          <a:ext cx="1800000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Caixa Livre</a:t>
          </a:r>
        </a:p>
      </xdr:txBody>
    </xdr:sp>
    <xdr:clientData/>
  </xdr:twoCellAnchor>
  <xdr:twoCellAnchor>
    <xdr:from>
      <xdr:col>2</xdr:col>
      <xdr:colOff>9299</xdr:colOff>
      <xdr:row>7</xdr:row>
      <xdr:rowOff>161925</xdr:rowOff>
    </xdr:from>
    <xdr:to>
      <xdr:col>4</xdr:col>
      <xdr:colOff>590099</xdr:colOff>
      <xdr:row>8</xdr:row>
      <xdr:rowOff>187425</xdr:rowOff>
    </xdr:to>
    <xdr:sp macro="[0]!pagina_inicial" textlink="">
      <xdr:nvSpPr>
        <xdr:cNvPr id="6" name="Retângulo 5"/>
        <xdr:cNvSpPr/>
      </xdr:nvSpPr>
      <xdr:spPr>
        <a:xfrm>
          <a:off x="1228499" y="1628775"/>
          <a:ext cx="1800000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Pagina Inicial</a:t>
          </a:r>
        </a:p>
      </xdr:txBody>
    </xdr:sp>
    <xdr:clientData/>
  </xdr:twoCellAnchor>
  <xdr:twoCellAnchor>
    <xdr:from>
      <xdr:col>2</xdr:col>
      <xdr:colOff>19049</xdr:colOff>
      <xdr:row>9</xdr:row>
      <xdr:rowOff>107850</xdr:rowOff>
    </xdr:from>
    <xdr:to>
      <xdr:col>4</xdr:col>
      <xdr:colOff>599849</xdr:colOff>
      <xdr:row>10</xdr:row>
      <xdr:rowOff>85725</xdr:rowOff>
    </xdr:to>
    <xdr:sp macro="[0]!quantidade" textlink="">
      <xdr:nvSpPr>
        <xdr:cNvPr id="7" name="Retângulo 6"/>
        <xdr:cNvSpPr/>
      </xdr:nvSpPr>
      <xdr:spPr>
        <a:xfrm>
          <a:off x="1238249" y="1965225"/>
          <a:ext cx="1800000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Quantidade</a:t>
          </a:r>
        </a:p>
      </xdr:txBody>
    </xdr:sp>
    <xdr:clientData/>
  </xdr:twoCellAnchor>
  <xdr:twoCellAnchor>
    <xdr:from>
      <xdr:col>2</xdr:col>
      <xdr:colOff>19049</xdr:colOff>
      <xdr:row>11</xdr:row>
      <xdr:rowOff>50700</xdr:rowOff>
    </xdr:from>
    <xdr:to>
      <xdr:col>4</xdr:col>
      <xdr:colOff>599849</xdr:colOff>
      <xdr:row>12</xdr:row>
      <xdr:rowOff>76200</xdr:rowOff>
    </xdr:to>
    <xdr:sp macro="[0]!aba_servicos" textlink="">
      <xdr:nvSpPr>
        <xdr:cNvPr id="8" name="Retângulo 7"/>
        <xdr:cNvSpPr/>
      </xdr:nvSpPr>
      <xdr:spPr>
        <a:xfrm>
          <a:off x="1238249" y="2346225"/>
          <a:ext cx="1800000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Aba Serviços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324135</xdr:colOff>
      <xdr:row>4</xdr:row>
      <xdr:rowOff>95789</xdr:rowOff>
    </xdr:from>
    <xdr:ext cx="3588739" cy="937629"/>
    <xdr:sp macro="" textlink="">
      <xdr:nvSpPr>
        <xdr:cNvPr id="3" name="Retângulo 2"/>
        <xdr:cNvSpPr/>
      </xdr:nvSpPr>
      <xdr:spPr>
        <a:xfrm>
          <a:off x="3372135" y="857789"/>
          <a:ext cx="358873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Quantidade</a:t>
          </a:r>
        </a:p>
      </xdr:txBody>
    </xdr:sp>
    <xdr:clientData/>
  </xdr:oneCellAnchor>
  <xdr:twoCellAnchor>
    <xdr:from>
      <xdr:col>7</xdr:col>
      <xdr:colOff>85725</xdr:colOff>
      <xdr:row>19</xdr:row>
      <xdr:rowOff>57150</xdr:rowOff>
    </xdr:from>
    <xdr:to>
      <xdr:col>9</xdr:col>
      <xdr:colOff>276225</xdr:colOff>
      <xdr:row>21</xdr:row>
      <xdr:rowOff>85725</xdr:rowOff>
    </xdr:to>
    <xdr:sp macro="[0]!registrar" textlink="">
      <xdr:nvSpPr>
        <xdr:cNvPr id="4" name="Retângulo 3"/>
        <xdr:cNvSpPr/>
      </xdr:nvSpPr>
      <xdr:spPr>
        <a:xfrm>
          <a:off x="4352925" y="3714750"/>
          <a:ext cx="14097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latin typeface="Times New Roman" pitchFamily="18" charset="0"/>
              <a:cs typeface="Times New Roman" pitchFamily="18" charset="0"/>
            </a:rPr>
            <a:t>registrar</a:t>
          </a:r>
        </a:p>
      </xdr:txBody>
    </xdr:sp>
    <xdr:clientData/>
  </xdr:twoCellAnchor>
  <xdr:twoCellAnchor>
    <xdr:from>
      <xdr:col>9</xdr:col>
      <xdr:colOff>457200</xdr:colOff>
      <xdr:row>19</xdr:row>
      <xdr:rowOff>57150</xdr:rowOff>
    </xdr:from>
    <xdr:to>
      <xdr:col>12</xdr:col>
      <xdr:colOff>38100</xdr:colOff>
      <xdr:row>21</xdr:row>
      <xdr:rowOff>85725</xdr:rowOff>
    </xdr:to>
    <xdr:sp macro="[0]!limpar_quantidade" textlink="">
      <xdr:nvSpPr>
        <xdr:cNvPr id="6" name="Retângulo 5"/>
        <xdr:cNvSpPr/>
      </xdr:nvSpPr>
      <xdr:spPr>
        <a:xfrm>
          <a:off x="5943600" y="3714750"/>
          <a:ext cx="1409700" cy="4095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latin typeface="Times New Roman" pitchFamily="18" charset="0"/>
              <a:cs typeface="Times New Roman" pitchFamily="18" charset="0"/>
            </a:rPr>
            <a:t>limpar</a:t>
          </a:r>
        </a:p>
      </xdr:txBody>
    </xdr:sp>
    <xdr:clientData/>
  </xdr:twoCellAnchor>
  <xdr:twoCellAnchor>
    <xdr:from>
      <xdr:col>4</xdr:col>
      <xdr:colOff>352425</xdr:colOff>
      <xdr:row>19</xdr:row>
      <xdr:rowOff>57150</xdr:rowOff>
    </xdr:from>
    <xdr:to>
      <xdr:col>6</xdr:col>
      <xdr:colOff>542925</xdr:colOff>
      <xdr:row>21</xdr:row>
      <xdr:rowOff>85725</xdr:rowOff>
    </xdr:to>
    <xdr:sp macro="[0]!caixa" textlink="">
      <xdr:nvSpPr>
        <xdr:cNvPr id="7" name="Retângulo 6"/>
        <xdr:cNvSpPr/>
      </xdr:nvSpPr>
      <xdr:spPr>
        <a:xfrm>
          <a:off x="2790825" y="3714750"/>
          <a:ext cx="14097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latin typeface="Times New Roman" pitchFamily="18" charset="0"/>
              <a:cs typeface="Times New Roman" pitchFamily="18" charset="0"/>
            </a:rPr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458087</xdr:colOff>
      <xdr:row>1</xdr:row>
      <xdr:rowOff>108743</xdr:rowOff>
    </xdr:from>
    <xdr:ext cx="7844583" cy="843757"/>
    <xdr:sp macro="" textlink="">
      <xdr:nvSpPr>
        <xdr:cNvPr id="2" name="Retângulo 1"/>
        <xdr:cNvSpPr/>
      </xdr:nvSpPr>
      <xdr:spPr>
        <a:xfrm>
          <a:off x="2286887" y="299243"/>
          <a:ext cx="7844583" cy="84375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8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Cadastar</a:t>
          </a:r>
          <a:r>
            <a:rPr lang="pt-BR" sz="4800" b="1" cap="none" spc="50" baseline="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 / Consultar Serviços</a:t>
          </a:r>
          <a:endParaRPr lang="pt-BR" sz="48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oneCellAnchor>
  <xdr:twoCellAnchor>
    <xdr:from>
      <xdr:col>7</xdr:col>
      <xdr:colOff>0</xdr:colOff>
      <xdr:row>23</xdr:row>
      <xdr:rowOff>0</xdr:rowOff>
    </xdr:from>
    <xdr:to>
      <xdr:col>14</xdr:col>
      <xdr:colOff>0</xdr:colOff>
      <xdr:row>25</xdr:row>
      <xdr:rowOff>0</xdr:rowOff>
    </xdr:to>
    <xdr:sp macro="[0]!consultar_serviços" textlink="">
      <xdr:nvSpPr>
        <xdr:cNvPr id="3" name="Retângulo 2"/>
        <xdr:cNvSpPr/>
      </xdr:nvSpPr>
      <xdr:spPr>
        <a:xfrm>
          <a:off x="4267200" y="4429125"/>
          <a:ext cx="42672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Times New Roman" pitchFamily="18" charset="0"/>
              <a:cs typeface="Times New Roman" pitchFamily="18" charset="0"/>
            </a:rPr>
            <a:t>Consultar</a:t>
          </a:r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14</xdr:col>
      <xdr:colOff>0</xdr:colOff>
      <xdr:row>23</xdr:row>
      <xdr:rowOff>0</xdr:rowOff>
    </xdr:to>
    <xdr:sp macro="[0]!cadastrar_serviços" textlink="">
      <xdr:nvSpPr>
        <xdr:cNvPr id="4" name="Retângulo 3"/>
        <xdr:cNvSpPr/>
      </xdr:nvSpPr>
      <xdr:spPr>
        <a:xfrm>
          <a:off x="4267200" y="4048125"/>
          <a:ext cx="42672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Times New Roman" pitchFamily="18" charset="0"/>
              <a:cs typeface="Times New Roman" pitchFamily="18" charset="0"/>
            </a:rPr>
            <a:t>Cadastrar</a:t>
          </a:r>
        </a:p>
      </xdr:txBody>
    </xdr:sp>
    <xdr:clientData/>
  </xdr:twoCellAnchor>
  <xdr:twoCellAnchor>
    <xdr:from>
      <xdr:col>7</xdr:col>
      <xdr:colOff>0</xdr:colOff>
      <xdr:row>28</xdr:row>
      <xdr:rowOff>180975</xdr:rowOff>
    </xdr:from>
    <xdr:to>
      <xdr:col>14</xdr:col>
      <xdr:colOff>0</xdr:colOff>
      <xdr:row>30</xdr:row>
      <xdr:rowOff>180975</xdr:rowOff>
    </xdr:to>
    <xdr:sp macro="[0]!pagina_inicial" textlink="">
      <xdr:nvSpPr>
        <xdr:cNvPr id="5" name="Retângulo 4"/>
        <xdr:cNvSpPr/>
      </xdr:nvSpPr>
      <xdr:spPr>
        <a:xfrm>
          <a:off x="4267200" y="5553075"/>
          <a:ext cx="42672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Times New Roman" pitchFamily="18" charset="0"/>
              <a:cs typeface="Times New Roman" pitchFamily="18" charset="0"/>
            </a:rPr>
            <a:t>Pagina Inicial</a:t>
          </a:r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14</xdr:col>
      <xdr:colOff>0</xdr:colOff>
      <xdr:row>27</xdr:row>
      <xdr:rowOff>0</xdr:rowOff>
    </xdr:to>
    <xdr:sp macro="[0]!caixa" textlink="">
      <xdr:nvSpPr>
        <xdr:cNvPr id="6" name="Retângulo 5"/>
        <xdr:cNvSpPr/>
      </xdr:nvSpPr>
      <xdr:spPr>
        <a:xfrm>
          <a:off x="4267200" y="4800600"/>
          <a:ext cx="42672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Times New Roman" pitchFamily="18" charset="0"/>
              <a:cs typeface="Times New Roman" pitchFamily="18" charset="0"/>
            </a:rPr>
            <a:t>Voltar ao Caixa </a:t>
          </a:r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14</xdr:col>
      <xdr:colOff>0</xdr:colOff>
      <xdr:row>29</xdr:row>
      <xdr:rowOff>0</xdr:rowOff>
    </xdr:to>
    <xdr:sp macro="[0]!caixa_livre" textlink="">
      <xdr:nvSpPr>
        <xdr:cNvPr id="7" name="Retângulo 6"/>
        <xdr:cNvSpPr/>
      </xdr:nvSpPr>
      <xdr:spPr>
        <a:xfrm>
          <a:off x="4267200" y="5181600"/>
          <a:ext cx="42672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Times New Roman" pitchFamily="18" charset="0"/>
              <a:cs typeface="Times New Roman" pitchFamily="18" charset="0"/>
            </a:rPr>
            <a:t>Voltar ao Caixa Livre</a:t>
          </a:r>
        </a:p>
      </xdr:txBody>
    </xdr:sp>
    <xdr:clientData/>
  </xdr:twoCellAnchor>
  <xdr:twoCellAnchor editAs="oneCell">
    <xdr:from>
      <xdr:col>10</xdr:col>
      <xdr:colOff>123825</xdr:colOff>
      <xdr:row>15</xdr:row>
      <xdr:rowOff>19050</xdr:rowOff>
    </xdr:from>
    <xdr:to>
      <xdr:col>11</xdr:col>
      <xdr:colOff>238124</xdr:colOff>
      <xdr:row>19</xdr:row>
      <xdr:rowOff>0</xdr:rowOff>
    </xdr:to>
    <xdr:pic macro="[0]!limpar_serviços">
      <xdr:nvPicPr>
        <xdr:cNvPr id="9" name="Imagem 8" descr="lixeira.jpe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9825" y="2905125"/>
          <a:ext cx="723899" cy="752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533400</xdr:colOff>
      <xdr:row>0</xdr:row>
      <xdr:rowOff>66675</xdr:rowOff>
    </xdr:from>
    <xdr:to>
      <xdr:col>6</xdr:col>
      <xdr:colOff>583761</xdr:colOff>
      <xdr:row>7</xdr:row>
      <xdr:rowOff>9525</xdr:rowOff>
    </xdr:to>
    <xdr:pic macro="[0]!caixa">
      <xdr:nvPicPr>
        <xdr:cNvPr id="1025" name="Picture 1" descr="C:\Program Files (x86)\Microsoft Office\MEDIA\CAGCAT10\j0222015.wm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10350" y="66675"/>
          <a:ext cx="1269561" cy="1276350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400050</xdr:colOff>
      <xdr:row>0</xdr:row>
      <xdr:rowOff>28575</xdr:rowOff>
    </xdr:from>
    <xdr:ext cx="8218340" cy="381000"/>
    <xdr:sp macro="" textlink="">
      <xdr:nvSpPr>
        <xdr:cNvPr id="2" name="Retângulo 1"/>
        <xdr:cNvSpPr/>
      </xdr:nvSpPr>
      <xdr:spPr>
        <a:xfrm>
          <a:off x="2228850" y="28575"/>
          <a:ext cx="8218340" cy="38100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  <a:latin typeface="Times New Roman" pitchFamily="18" charset="0"/>
              <a:cs typeface="Times New Roman" pitchFamily="18" charset="0"/>
            </a:rPr>
            <a:t>Cadastrar</a:t>
          </a:r>
          <a:r>
            <a:rPr lang="pt-BR" sz="3600" b="1" cap="none" spc="50" baseline="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  <a:latin typeface="Times New Roman" pitchFamily="18" charset="0"/>
              <a:cs typeface="Times New Roman" pitchFamily="18" charset="0"/>
            </a:rPr>
            <a:t> / Consultar Cliente</a:t>
          </a:r>
          <a:endParaRPr lang="pt-BR" sz="36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>
    <xdr:from>
      <xdr:col>7</xdr:col>
      <xdr:colOff>0</xdr:colOff>
      <xdr:row>21</xdr:row>
      <xdr:rowOff>0</xdr:rowOff>
    </xdr:from>
    <xdr:to>
      <xdr:col>14</xdr:col>
      <xdr:colOff>0</xdr:colOff>
      <xdr:row>22</xdr:row>
      <xdr:rowOff>95250</xdr:rowOff>
    </xdr:to>
    <xdr:sp macro="[0]!cadastro_cliente" textlink="">
      <xdr:nvSpPr>
        <xdr:cNvPr id="3" name="Retângulo 2"/>
        <xdr:cNvSpPr/>
      </xdr:nvSpPr>
      <xdr:spPr>
        <a:xfrm>
          <a:off x="4267200" y="4171950"/>
          <a:ext cx="42672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>
              <a:latin typeface="Times New Roman" pitchFamily="18" charset="0"/>
              <a:cs typeface="Times New Roman" pitchFamily="18" charset="0"/>
            </a:rPr>
            <a:t>Cadastrar</a:t>
          </a:r>
        </a:p>
      </xdr:txBody>
    </xdr:sp>
    <xdr:clientData/>
  </xdr:twoCellAnchor>
  <xdr:twoCellAnchor>
    <xdr:from>
      <xdr:col>7</xdr:col>
      <xdr:colOff>0</xdr:colOff>
      <xdr:row>22</xdr:row>
      <xdr:rowOff>95250</xdr:rowOff>
    </xdr:from>
    <xdr:to>
      <xdr:col>14</xdr:col>
      <xdr:colOff>0</xdr:colOff>
      <xdr:row>24</xdr:row>
      <xdr:rowOff>0</xdr:rowOff>
    </xdr:to>
    <xdr:sp macro="[0]!consultar_cliente" textlink="">
      <xdr:nvSpPr>
        <xdr:cNvPr id="4" name="Retângulo 3"/>
        <xdr:cNvSpPr/>
      </xdr:nvSpPr>
      <xdr:spPr>
        <a:xfrm>
          <a:off x="4267200" y="4457700"/>
          <a:ext cx="42672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Consultar </a:t>
          </a:r>
          <a:r>
            <a:rPr lang="pt-BR" sz="1400" b="1" baseline="0">
              <a:latin typeface="Times New Roman" pitchFamily="18" charset="0"/>
              <a:cs typeface="Times New Roman" pitchFamily="18" charset="0"/>
            </a:rPr>
            <a:t> por CPF</a:t>
          </a:r>
          <a:endParaRPr lang="pt-BR" sz="14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0</xdr:colOff>
      <xdr:row>25</xdr:row>
      <xdr:rowOff>85724</xdr:rowOff>
    </xdr:to>
    <xdr:sp macro="[0]!caixa_livre" textlink="">
      <xdr:nvSpPr>
        <xdr:cNvPr id="5" name="Retângulo 4"/>
        <xdr:cNvSpPr/>
      </xdr:nvSpPr>
      <xdr:spPr>
        <a:xfrm>
          <a:off x="4267200" y="4743450"/>
          <a:ext cx="4267200" cy="2762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Voltar ao Caixa</a:t>
          </a:r>
          <a:r>
            <a:rPr lang="pt-BR" sz="1400" b="1" baseline="0">
              <a:latin typeface="Times New Roman" pitchFamily="18" charset="0"/>
              <a:cs typeface="Times New Roman" pitchFamily="18" charset="0"/>
            </a:rPr>
            <a:t> Livre</a:t>
          </a:r>
          <a:endParaRPr lang="pt-BR" sz="14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0</xdr:colOff>
      <xdr:row>25</xdr:row>
      <xdr:rowOff>95250</xdr:rowOff>
    </xdr:from>
    <xdr:to>
      <xdr:col>14</xdr:col>
      <xdr:colOff>0</xdr:colOff>
      <xdr:row>27</xdr:row>
      <xdr:rowOff>0</xdr:rowOff>
    </xdr:to>
    <xdr:sp macro="[0]!pagina_inicial" textlink="">
      <xdr:nvSpPr>
        <xdr:cNvPr id="6" name="Retângulo 5"/>
        <xdr:cNvSpPr/>
      </xdr:nvSpPr>
      <xdr:spPr>
        <a:xfrm>
          <a:off x="4267200" y="5029200"/>
          <a:ext cx="42672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Times New Roman" pitchFamily="18" charset="0"/>
              <a:cs typeface="Times New Roman" pitchFamily="18" charset="0"/>
            </a:rPr>
            <a:t>Pagina Inicial</a:t>
          </a:r>
        </a:p>
      </xdr:txBody>
    </xdr:sp>
    <xdr:clientData/>
  </xdr:twoCellAnchor>
  <xdr:twoCellAnchor editAs="oneCell">
    <xdr:from>
      <xdr:col>11</xdr:col>
      <xdr:colOff>514350</xdr:colOff>
      <xdr:row>10</xdr:row>
      <xdr:rowOff>0</xdr:rowOff>
    </xdr:from>
    <xdr:to>
      <xdr:col>14</xdr:col>
      <xdr:colOff>552450</xdr:colOff>
      <xdr:row>19</xdr:row>
      <xdr:rowOff>66675</xdr:rowOff>
    </xdr:to>
    <xdr:pic macro="[0]!limpar_cliente"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1971675"/>
          <a:ext cx="1866900" cy="18669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390525</xdr:colOff>
      <xdr:row>0</xdr:row>
      <xdr:rowOff>180975</xdr:rowOff>
    </xdr:from>
    <xdr:to>
      <xdr:col>10</xdr:col>
      <xdr:colOff>542925</xdr:colOff>
      <xdr:row>4</xdr:row>
      <xdr:rowOff>66675</xdr:rowOff>
    </xdr:to>
    <xdr:sp macro="[0]!pagina_inicial" textlink="">
      <xdr:nvSpPr>
        <xdr:cNvPr id="2" name="Retângulo 1"/>
        <xdr:cNvSpPr/>
      </xdr:nvSpPr>
      <xdr:spPr>
        <a:xfrm>
          <a:off x="11344275" y="180975"/>
          <a:ext cx="1371600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/>
            <a:t>voltar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14</xdr:row>
      <xdr:rowOff>19048</xdr:rowOff>
    </xdr:from>
    <xdr:to>
      <xdr:col>4</xdr:col>
      <xdr:colOff>590549</xdr:colOff>
      <xdr:row>17</xdr:row>
      <xdr:rowOff>167548</xdr:rowOff>
    </xdr:to>
    <xdr:sp macro="[0]!novas_vendas" textlink="">
      <xdr:nvSpPr>
        <xdr:cNvPr id="2" name="Retângulo 1"/>
        <xdr:cNvSpPr/>
      </xdr:nvSpPr>
      <xdr:spPr>
        <a:xfrm>
          <a:off x="1238250" y="3133723"/>
          <a:ext cx="1790699" cy="72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000">
              <a:latin typeface="Times New Roman" pitchFamily="18" charset="0"/>
              <a:cs typeface="Times New Roman" pitchFamily="18" charset="0"/>
            </a:rPr>
            <a:t>Novas</a:t>
          </a:r>
          <a:r>
            <a:rPr lang="pt-BR" sz="2000" baseline="0">
              <a:latin typeface="Times New Roman" pitchFamily="18" charset="0"/>
              <a:cs typeface="Times New Roman" pitchFamily="18" charset="0"/>
            </a:rPr>
            <a:t> Vendas</a:t>
          </a:r>
          <a:endParaRPr lang="pt-BR" sz="2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5</xdr:col>
      <xdr:colOff>19050</xdr:colOff>
      <xdr:row>14</xdr:row>
      <xdr:rowOff>19048</xdr:rowOff>
    </xdr:from>
    <xdr:to>
      <xdr:col>7</xdr:col>
      <xdr:colOff>590549</xdr:colOff>
      <xdr:row>17</xdr:row>
      <xdr:rowOff>167548</xdr:rowOff>
    </xdr:to>
    <xdr:sp macro="[0]!pagina_inicial" textlink="">
      <xdr:nvSpPr>
        <xdr:cNvPr id="3" name="Retângulo 2"/>
        <xdr:cNvSpPr/>
      </xdr:nvSpPr>
      <xdr:spPr>
        <a:xfrm>
          <a:off x="3067050" y="3133723"/>
          <a:ext cx="1790699" cy="72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>
              <a:latin typeface="Times New Roman" pitchFamily="18" charset="0"/>
              <a:cs typeface="Times New Roman" pitchFamily="18" charset="0"/>
            </a:rPr>
            <a:t>Voltar ao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outlinePr showOutlineSymbols="0"/>
  </sheetPr>
  <dimension ref="A1:CF367"/>
  <sheetViews>
    <sheetView showGridLines="0" showRowColHeaders="0" showZeros="0" tabSelected="1" showOutlineSymbols="0" workbookViewId="0">
      <selection activeCell="Q75" sqref="Q75"/>
    </sheetView>
  </sheetViews>
  <sheetFormatPr defaultRowHeight="15"/>
  <cols>
    <col min="1" max="1" width="9.140625" style="19"/>
    <col min="21" max="84" width="9.140625" style="19"/>
  </cols>
  <sheetData>
    <row r="1" spans="2:20" s="19" customFormat="1"/>
    <row r="2" spans="2:20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</row>
    <row r="3" spans="2:20"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5"/>
    </row>
    <row r="4" spans="2:20">
      <c r="B4" s="13"/>
      <c r="C4" s="10"/>
      <c r="D4" s="11"/>
      <c r="E4" s="11"/>
      <c r="F4" s="11"/>
      <c r="G4" s="12"/>
      <c r="H4" s="14"/>
      <c r="I4" s="10"/>
      <c r="J4" s="11"/>
      <c r="K4" s="11"/>
      <c r="L4" s="11"/>
      <c r="M4" s="11"/>
      <c r="N4" s="11"/>
      <c r="O4" s="11"/>
      <c r="P4" s="11"/>
      <c r="Q4" s="11"/>
      <c r="R4" s="11"/>
      <c r="S4" s="12"/>
      <c r="T4" s="15"/>
    </row>
    <row r="5" spans="2:20">
      <c r="B5" s="13"/>
      <c r="C5" s="13"/>
      <c r="D5" s="14"/>
      <c r="E5" s="14"/>
      <c r="F5" s="14"/>
      <c r="G5" s="15"/>
      <c r="H5" s="14"/>
      <c r="I5" s="13"/>
      <c r="J5" s="14"/>
      <c r="K5" s="14"/>
      <c r="L5" s="14"/>
      <c r="M5" s="14"/>
      <c r="N5" s="14"/>
      <c r="O5" s="14"/>
      <c r="P5" s="14"/>
      <c r="Q5" s="14"/>
      <c r="R5" s="14"/>
      <c r="S5" s="15"/>
      <c r="T5" s="15"/>
    </row>
    <row r="6" spans="2:20">
      <c r="B6" s="13"/>
      <c r="C6" s="13"/>
      <c r="D6" s="14"/>
      <c r="E6" s="14"/>
      <c r="F6" s="14"/>
      <c r="G6" s="15"/>
      <c r="H6" s="14"/>
      <c r="I6" s="13"/>
      <c r="J6" s="14"/>
      <c r="K6" s="14"/>
      <c r="L6" s="14"/>
      <c r="M6" s="14"/>
      <c r="N6" s="14"/>
      <c r="O6" s="14"/>
      <c r="P6" s="14"/>
      <c r="Q6" s="14"/>
      <c r="R6" s="14"/>
      <c r="S6" s="15"/>
      <c r="T6" s="15"/>
    </row>
    <row r="7" spans="2:20">
      <c r="B7" s="13"/>
      <c r="C7" s="16"/>
      <c r="D7" s="17"/>
      <c r="E7" s="17"/>
      <c r="F7" s="17"/>
      <c r="G7" s="18"/>
      <c r="H7" s="14"/>
      <c r="I7" s="13"/>
      <c r="J7" s="14"/>
      <c r="K7" s="14"/>
      <c r="L7" s="14"/>
      <c r="M7" s="14"/>
      <c r="N7" s="14"/>
      <c r="O7" s="14"/>
      <c r="P7" s="14"/>
      <c r="Q7" s="14"/>
      <c r="R7" s="14"/>
      <c r="S7" s="15"/>
      <c r="T7" s="15"/>
    </row>
    <row r="8" spans="2:20">
      <c r="B8" s="13"/>
      <c r="C8" s="10"/>
      <c r="D8" s="11"/>
      <c r="E8" s="11"/>
      <c r="F8" s="11"/>
      <c r="G8" s="12"/>
      <c r="H8" s="14"/>
      <c r="I8" s="13"/>
      <c r="J8" s="14"/>
      <c r="K8" s="14"/>
      <c r="L8" s="14"/>
      <c r="M8" s="14"/>
      <c r="N8" s="14"/>
      <c r="O8" s="14"/>
      <c r="P8" s="14"/>
      <c r="Q8" s="14"/>
      <c r="R8" s="14"/>
      <c r="S8" s="15"/>
      <c r="T8" s="15"/>
    </row>
    <row r="9" spans="2:20">
      <c r="B9" s="13"/>
      <c r="C9" s="13"/>
      <c r="D9" s="14"/>
      <c r="E9" s="14"/>
      <c r="F9" s="14"/>
      <c r="G9" s="15"/>
      <c r="H9" s="14"/>
      <c r="I9" s="13"/>
      <c r="J9" s="14"/>
      <c r="K9" s="14"/>
      <c r="L9" s="14"/>
      <c r="M9" s="14"/>
      <c r="N9" s="14"/>
      <c r="O9" s="14"/>
      <c r="P9" s="14"/>
      <c r="Q9" s="14"/>
      <c r="R9" s="14"/>
      <c r="S9" s="15"/>
      <c r="T9" s="15"/>
    </row>
    <row r="10" spans="2:20">
      <c r="B10" s="13"/>
      <c r="C10" s="13"/>
      <c r="D10" s="14"/>
      <c r="E10" s="14"/>
      <c r="F10" s="14"/>
      <c r="G10" s="15"/>
      <c r="H10" s="14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5"/>
      <c r="T10" s="15"/>
    </row>
    <row r="11" spans="2:20">
      <c r="B11" s="13"/>
      <c r="C11" s="16"/>
      <c r="D11" s="17"/>
      <c r="E11" s="17"/>
      <c r="F11" s="17"/>
      <c r="G11" s="18"/>
      <c r="H11" s="14"/>
      <c r="I11" s="13"/>
      <c r="J11" s="14"/>
      <c r="K11" s="14"/>
      <c r="L11" s="14"/>
      <c r="M11" s="14"/>
      <c r="N11" s="14"/>
      <c r="O11" s="14"/>
      <c r="P11" s="14"/>
      <c r="Q11" s="14"/>
      <c r="R11" s="14"/>
      <c r="S11" s="15"/>
      <c r="T11" s="15"/>
    </row>
    <row r="12" spans="2:20">
      <c r="B12" s="13"/>
      <c r="C12" s="10"/>
      <c r="D12" s="11"/>
      <c r="E12" s="11"/>
      <c r="F12" s="11"/>
      <c r="G12" s="12"/>
      <c r="H12" s="14"/>
      <c r="I12" s="13"/>
      <c r="J12" s="14"/>
      <c r="K12" s="14"/>
      <c r="L12" s="14"/>
      <c r="M12" s="14"/>
      <c r="N12" s="14"/>
      <c r="O12" s="14"/>
      <c r="P12" s="14"/>
      <c r="Q12" s="14"/>
      <c r="R12" s="14"/>
      <c r="S12" s="15"/>
      <c r="T12" s="15"/>
    </row>
    <row r="13" spans="2:20">
      <c r="B13" s="13"/>
      <c r="C13" s="13"/>
      <c r="D13" s="14"/>
      <c r="E13" s="14"/>
      <c r="F13" s="14"/>
      <c r="G13" s="15"/>
      <c r="H13" s="14"/>
      <c r="I13" s="13"/>
      <c r="J13" s="14"/>
      <c r="K13" s="14"/>
      <c r="L13" s="14"/>
      <c r="M13" s="14"/>
      <c r="N13" s="14"/>
      <c r="O13" s="14"/>
      <c r="P13" s="14"/>
      <c r="Q13" s="14"/>
      <c r="R13" s="14"/>
      <c r="S13" s="15"/>
      <c r="T13" s="15"/>
    </row>
    <row r="14" spans="2:20">
      <c r="B14" s="13"/>
      <c r="C14" s="13"/>
      <c r="D14" s="14"/>
      <c r="E14" s="14"/>
      <c r="F14" s="14"/>
      <c r="G14" s="15"/>
      <c r="H14" s="14"/>
      <c r="I14" s="13"/>
      <c r="J14" s="14"/>
      <c r="K14" s="14"/>
      <c r="L14" s="14"/>
      <c r="M14" s="14"/>
      <c r="N14" s="14"/>
      <c r="O14" s="14"/>
      <c r="P14" s="14"/>
      <c r="Q14" s="14"/>
      <c r="R14" s="14"/>
      <c r="S14" s="15"/>
      <c r="T14" s="15"/>
    </row>
    <row r="15" spans="2:20">
      <c r="B15" s="13"/>
      <c r="C15" s="16"/>
      <c r="D15" s="17"/>
      <c r="E15" s="17"/>
      <c r="F15" s="17"/>
      <c r="G15" s="18"/>
      <c r="H15" s="14"/>
      <c r="I15" s="13"/>
      <c r="J15" s="14"/>
      <c r="K15" s="14"/>
      <c r="L15" s="14"/>
      <c r="M15" s="14"/>
      <c r="N15" s="14"/>
      <c r="O15" s="14"/>
      <c r="P15" s="14"/>
      <c r="Q15" s="14"/>
      <c r="R15" s="14"/>
      <c r="S15" s="15"/>
      <c r="T15" s="15"/>
    </row>
    <row r="16" spans="2:20">
      <c r="B16" s="13"/>
      <c r="C16" s="10"/>
      <c r="D16" s="11"/>
      <c r="E16" s="11"/>
      <c r="F16" s="11"/>
      <c r="G16" s="12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  <c r="S16" s="15"/>
      <c r="T16" s="15"/>
    </row>
    <row r="17" spans="2:20">
      <c r="B17" s="13"/>
      <c r="C17" s="13"/>
      <c r="D17" s="14"/>
      <c r="E17" s="14"/>
      <c r="F17" s="14"/>
      <c r="G17" s="15"/>
      <c r="H17" s="14"/>
      <c r="I17" s="13"/>
      <c r="J17" s="14"/>
      <c r="K17" s="14"/>
      <c r="L17" s="14"/>
      <c r="M17" s="14"/>
      <c r="N17" s="14"/>
      <c r="O17" s="14"/>
      <c r="P17" s="14"/>
      <c r="Q17" s="14"/>
      <c r="R17" s="14"/>
      <c r="S17" s="15"/>
      <c r="T17" s="15"/>
    </row>
    <row r="18" spans="2:20">
      <c r="B18" s="13"/>
      <c r="C18" s="13"/>
      <c r="D18" s="14"/>
      <c r="E18" s="14"/>
      <c r="F18" s="14"/>
      <c r="G18" s="15"/>
      <c r="H18" s="14"/>
      <c r="I18" s="13"/>
      <c r="J18" s="14"/>
      <c r="K18" s="14"/>
      <c r="L18" s="14"/>
      <c r="M18" s="14"/>
      <c r="N18" s="14"/>
      <c r="O18" s="14"/>
      <c r="P18" s="14"/>
      <c r="Q18" s="14"/>
      <c r="R18" s="14"/>
      <c r="S18" s="15"/>
      <c r="T18" s="15"/>
    </row>
    <row r="19" spans="2:20">
      <c r="B19" s="13"/>
      <c r="C19" s="16"/>
      <c r="D19" s="17"/>
      <c r="E19" s="17"/>
      <c r="F19" s="17"/>
      <c r="G19" s="18"/>
      <c r="H19" s="14"/>
      <c r="I19" s="13"/>
      <c r="J19" s="14"/>
      <c r="K19" s="14"/>
      <c r="L19" s="14"/>
      <c r="M19" s="14"/>
      <c r="N19" s="14"/>
      <c r="O19" s="14"/>
      <c r="P19" s="14"/>
      <c r="Q19" s="14"/>
      <c r="R19" s="14"/>
      <c r="S19" s="15"/>
      <c r="T19" s="15"/>
    </row>
    <row r="20" spans="2:20">
      <c r="B20" s="13"/>
      <c r="C20" s="10"/>
      <c r="D20" s="11"/>
      <c r="E20" s="11"/>
      <c r="F20" s="11"/>
      <c r="G20" s="12"/>
      <c r="H20" s="14"/>
      <c r="I20" s="13"/>
      <c r="J20" s="14"/>
      <c r="K20" s="14"/>
      <c r="L20" s="14"/>
      <c r="M20" s="14"/>
      <c r="N20" s="14"/>
      <c r="O20" s="14"/>
      <c r="P20" s="14"/>
      <c r="Q20" s="14"/>
      <c r="R20" s="14"/>
      <c r="S20" s="15"/>
      <c r="T20" s="15"/>
    </row>
    <row r="21" spans="2:20">
      <c r="B21" s="13"/>
      <c r="C21" s="13"/>
      <c r="D21" s="14"/>
      <c r="E21" s="14"/>
      <c r="F21" s="14"/>
      <c r="G21" s="15"/>
      <c r="H21" s="14"/>
      <c r="I21" s="13"/>
      <c r="J21" s="14"/>
      <c r="K21" s="14"/>
      <c r="L21" s="14"/>
      <c r="M21" s="14"/>
      <c r="N21" s="14"/>
      <c r="O21" s="14"/>
      <c r="P21" s="14"/>
      <c r="Q21" s="14"/>
      <c r="R21" s="14"/>
      <c r="S21" s="15"/>
      <c r="T21" s="15"/>
    </row>
    <row r="22" spans="2:20">
      <c r="B22" s="13"/>
      <c r="C22" s="13"/>
      <c r="D22" s="14"/>
      <c r="E22" s="14"/>
      <c r="F22" s="14"/>
      <c r="G22" s="15"/>
      <c r="H22" s="14"/>
      <c r="I22" s="13"/>
      <c r="J22" s="14"/>
      <c r="K22" s="14"/>
      <c r="L22" s="14"/>
      <c r="M22" s="14"/>
      <c r="N22" s="14"/>
      <c r="O22" s="14"/>
      <c r="P22" s="14"/>
      <c r="Q22" s="14"/>
      <c r="R22" s="14"/>
      <c r="S22" s="15"/>
      <c r="T22" s="15"/>
    </row>
    <row r="23" spans="2:20">
      <c r="B23" s="13"/>
      <c r="C23" s="16"/>
      <c r="D23" s="17"/>
      <c r="E23" s="17"/>
      <c r="F23" s="17"/>
      <c r="G23" s="18"/>
      <c r="H23" s="14"/>
      <c r="I23" s="13"/>
      <c r="J23" s="14"/>
      <c r="K23" s="14"/>
      <c r="L23" s="14"/>
      <c r="M23" s="14"/>
      <c r="N23" s="14"/>
      <c r="O23" s="14"/>
      <c r="P23" s="14"/>
      <c r="Q23" s="14"/>
      <c r="R23" s="14"/>
      <c r="S23" s="15"/>
      <c r="T23" s="15"/>
    </row>
    <row r="24" spans="2:20">
      <c r="B24" s="13"/>
      <c r="C24" s="10"/>
      <c r="D24" s="11"/>
      <c r="E24" s="11"/>
      <c r="F24" s="11"/>
      <c r="G24" s="12"/>
      <c r="H24" s="14"/>
      <c r="I24" s="13"/>
      <c r="J24" s="14"/>
      <c r="K24" s="14"/>
      <c r="L24" s="14"/>
      <c r="M24" s="14"/>
      <c r="N24" s="14"/>
      <c r="O24" s="14"/>
      <c r="P24" s="14"/>
      <c r="Q24" s="14"/>
      <c r="R24" s="14"/>
      <c r="S24" s="15"/>
      <c r="T24" s="15"/>
    </row>
    <row r="25" spans="2:20">
      <c r="B25" s="13"/>
      <c r="C25" s="13"/>
      <c r="D25" s="14"/>
      <c r="E25" s="14"/>
      <c r="F25" s="14"/>
      <c r="G25" s="15"/>
      <c r="H25" s="14"/>
      <c r="I25" s="13"/>
      <c r="J25" s="14"/>
      <c r="K25" s="14"/>
      <c r="L25" s="14"/>
      <c r="M25" s="14"/>
      <c r="N25" s="14"/>
      <c r="O25" s="14"/>
      <c r="P25" s="14"/>
      <c r="Q25" s="14"/>
      <c r="R25" s="14"/>
      <c r="S25" s="15"/>
      <c r="T25" s="15"/>
    </row>
    <row r="26" spans="2:20">
      <c r="B26" s="13"/>
      <c r="C26" s="13"/>
      <c r="D26" s="14"/>
      <c r="E26" s="14"/>
      <c r="F26" s="14"/>
      <c r="G26" s="15"/>
      <c r="H26" s="14"/>
      <c r="I26" s="13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15"/>
    </row>
    <row r="27" spans="2:20">
      <c r="B27" s="13"/>
      <c r="C27" s="16"/>
      <c r="D27" s="17"/>
      <c r="E27" s="17"/>
      <c r="F27" s="17"/>
      <c r="G27" s="18"/>
      <c r="H27" s="14"/>
      <c r="I27" s="13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15"/>
    </row>
    <row r="28" spans="2:20">
      <c r="B28" s="13"/>
      <c r="C28" s="13"/>
      <c r="D28" s="14"/>
      <c r="E28" s="14"/>
      <c r="F28" s="14"/>
      <c r="G28" s="15"/>
      <c r="H28" s="14"/>
      <c r="I28" s="13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15"/>
    </row>
    <row r="29" spans="2:20">
      <c r="B29" s="13"/>
      <c r="C29" s="13"/>
      <c r="D29" s="14"/>
      <c r="E29" s="14"/>
      <c r="F29" s="14"/>
      <c r="G29" s="15"/>
      <c r="H29" s="14"/>
      <c r="I29" s="13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15"/>
    </row>
    <row r="30" spans="2:20">
      <c r="B30" s="13"/>
      <c r="C30" s="13"/>
      <c r="D30" s="14"/>
      <c r="E30" s="14"/>
      <c r="F30" s="14"/>
      <c r="G30" s="15"/>
      <c r="H30" s="14"/>
      <c r="I30" s="13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15"/>
    </row>
    <row r="31" spans="2:20">
      <c r="B31" s="13"/>
      <c r="C31" s="16"/>
      <c r="D31" s="17"/>
      <c r="E31" s="17"/>
      <c r="F31" s="17"/>
      <c r="G31" s="18"/>
      <c r="H31" s="14"/>
      <c r="I31" s="16"/>
      <c r="J31" s="17"/>
      <c r="K31" s="17"/>
      <c r="L31" s="17"/>
      <c r="M31" s="17"/>
      <c r="N31" s="17"/>
      <c r="O31" s="17"/>
      <c r="P31" s="17"/>
      <c r="Q31" s="17"/>
      <c r="R31" s="17"/>
      <c r="S31" s="18"/>
      <c r="T31" s="15"/>
    </row>
    <row r="32" spans="2:20"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5"/>
    </row>
    <row r="33" spans="2:20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8"/>
    </row>
    <row r="34" spans="2:20" s="19" customFormat="1"/>
    <row r="35" spans="2:20" s="19" customFormat="1"/>
    <row r="36" spans="2:20" s="19" customFormat="1"/>
    <row r="37" spans="2:20" s="19" customFormat="1"/>
    <row r="38" spans="2:20" s="19" customFormat="1"/>
    <row r="39" spans="2:20" s="19" customFormat="1"/>
    <row r="40" spans="2:20" s="19" customFormat="1"/>
    <row r="41" spans="2:20" s="19" customFormat="1"/>
    <row r="42" spans="2:20" s="19" customFormat="1"/>
    <row r="43" spans="2:20" s="19" customFormat="1"/>
    <row r="44" spans="2:20" s="19" customFormat="1"/>
    <row r="45" spans="2:20" s="19" customFormat="1"/>
    <row r="46" spans="2:20" s="19" customFormat="1"/>
    <row r="47" spans="2:20" s="19" customFormat="1"/>
    <row r="48" spans="2:20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="19" customFormat="1"/>
    <row r="114" s="19" customFormat="1"/>
    <row r="115" s="19" customFormat="1"/>
    <row r="116" s="19" customFormat="1"/>
    <row r="117" s="19" customFormat="1"/>
    <row r="118" s="19" customFormat="1"/>
    <row r="119" s="19" customFormat="1"/>
    <row r="120" s="19" customFormat="1"/>
    <row r="121" s="19" customFormat="1"/>
    <row r="122" s="19" customFormat="1"/>
    <row r="123" s="19" customFormat="1"/>
    <row r="124" s="19" customFormat="1"/>
    <row r="125" s="19" customFormat="1"/>
    <row r="126" s="19" customFormat="1"/>
    <row r="127" s="19" customFormat="1"/>
    <row r="128" s="19" customFormat="1"/>
    <row r="129" s="19" customFormat="1"/>
    <row r="130" s="19" customFormat="1"/>
    <row r="131" s="19" customFormat="1"/>
    <row r="132" s="19" customFormat="1"/>
    <row r="133" s="19" customFormat="1"/>
    <row r="134" s="19" customFormat="1"/>
    <row r="135" s="19" customFormat="1"/>
    <row r="136" s="19" customFormat="1"/>
    <row r="137" s="19" customFormat="1"/>
    <row r="138" s="19" customFormat="1"/>
    <row r="139" s="19" customFormat="1"/>
    <row r="140" s="19" customFormat="1"/>
    <row r="141" s="19" customFormat="1"/>
    <row r="142" s="19" customFormat="1"/>
    <row r="143" s="19" customFormat="1"/>
    <row r="144" s="19" customFormat="1"/>
    <row r="145" s="19" customFormat="1"/>
    <row r="146" s="19" customFormat="1"/>
    <row r="147" s="19" customFormat="1"/>
    <row r="148" s="19" customFormat="1"/>
    <row r="149" s="19" customFormat="1"/>
    <row r="150" s="19" customFormat="1"/>
    <row r="151" s="19" customFormat="1"/>
    <row r="152" s="19" customFormat="1"/>
    <row r="153" s="19" customFormat="1"/>
    <row r="154" s="19" customFormat="1"/>
    <row r="155" s="19" customFormat="1"/>
    <row r="156" s="19" customFormat="1"/>
    <row r="157" s="19" customFormat="1"/>
    <row r="158" s="19" customFormat="1"/>
    <row r="159" s="19" customFormat="1"/>
    <row r="160" s="19" customFormat="1"/>
    <row r="161" s="19" customFormat="1"/>
    <row r="162" s="19" customFormat="1"/>
    <row r="163" s="19" customFormat="1"/>
    <row r="164" s="19" customFormat="1"/>
    <row r="165" s="19" customFormat="1"/>
    <row r="166" s="19" customFormat="1"/>
    <row r="167" s="19" customFormat="1"/>
    <row r="168" s="19" customFormat="1"/>
    <row r="169" s="19" customFormat="1"/>
    <row r="170" s="19" customFormat="1"/>
    <row r="171" s="19" customFormat="1"/>
    <row r="172" s="19" customFormat="1"/>
    <row r="173" s="19" customFormat="1"/>
    <row r="174" s="19" customFormat="1"/>
    <row r="175" s="19" customFormat="1"/>
    <row r="176" s="19" customFormat="1"/>
    <row r="177" s="19" customFormat="1"/>
    <row r="178" s="19" customFormat="1"/>
    <row r="179" s="19" customFormat="1"/>
    <row r="180" s="19" customFormat="1"/>
    <row r="181" s="19" customFormat="1"/>
    <row r="182" s="19" customFormat="1"/>
    <row r="183" s="19" customFormat="1"/>
    <row r="184" s="19" customFormat="1"/>
    <row r="185" s="19" customFormat="1"/>
    <row r="186" s="19" customFormat="1"/>
    <row r="187" s="19" customFormat="1"/>
    <row r="188" s="19" customFormat="1"/>
    <row r="189" s="19" customFormat="1"/>
    <row r="190" s="19" customFormat="1"/>
    <row r="191" s="19" customFormat="1"/>
    <row r="192" s="19" customFormat="1"/>
    <row r="193" s="19" customFormat="1"/>
    <row r="194" s="19" customFormat="1"/>
    <row r="195" s="19" customFormat="1"/>
    <row r="196" s="19" customFormat="1"/>
    <row r="197" s="19" customFormat="1"/>
    <row r="198" s="19" customFormat="1"/>
    <row r="199" s="19" customFormat="1"/>
    <row r="200" s="19" customFormat="1"/>
    <row r="201" s="19" customFormat="1"/>
    <row r="202" s="19" customFormat="1"/>
    <row r="203" s="19" customFormat="1"/>
    <row r="204" s="19" customFormat="1"/>
    <row r="205" s="19" customFormat="1"/>
    <row r="206" s="19" customFormat="1"/>
    <row r="207" s="19" customFormat="1"/>
    <row r="208" s="19" customFormat="1"/>
    <row r="209" s="19" customFormat="1"/>
    <row r="210" s="19" customFormat="1"/>
    <row r="211" s="19" customFormat="1"/>
    <row r="212" s="19" customFormat="1"/>
    <row r="213" s="19" customFormat="1"/>
    <row r="214" s="19" customFormat="1"/>
    <row r="215" s="19" customFormat="1"/>
    <row r="216" s="19" customFormat="1"/>
    <row r="217" s="19" customFormat="1"/>
    <row r="218" s="19" customFormat="1"/>
    <row r="219" s="19" customFormat="1"/>
    <row r="220" s="19" customFormat="1"/>
    <row r="221" s="19" customFormat="1"/>
    <row r="222" s="19" customFormat="1"/>
    <row r="223" s="19" customFormat="1"/>
    <row r="224" s="19" customFormat="1"/>
    <row r="225" s="19" customFormat="1"/>
    <row r="226" s="19" customFormat="1"/>
    <row r="227" s="19" customFormat="1"/>
    <row r="228" s="19" customFormat="1"/>
    <row r="229" s="19" customFormat="1"/>
    <row r="230" s="19" customFormat="1"/>
    <row r="231" s="19" customFormat="1"/>
    <row r="232" s="19" customFormat="1"/>
    <row r="233" s="19" customFormat="1"/>
    <row r="234" s="19" customFormat="1"/>
    <row r="235" s="19" customFormat="1"/>
    <row r="236" s="19" customFormat="1"/>
    <row r="237" s="19" customFormat="1"/>
    <row r="238" s="19" customFormat="1"/>
    <row r="239" s="19" customFormat="1"/>
    <row r="240" s="19" customFormat="1"/>
    <row r="241" s="19" customFormat="1"/>
    <row r="242" s="19" customFormat="1"/>
    <row r="243" s="19" customFormat="1"/>
    <row r="244" s="19" customFormat="1"/>
    <row r="245" s="19" customFormat="1"/>
    <row r="246" s="19" customFormat="1"/>
    <row r="247" s="19" customFormat="1"/>
    <row r="248" s="19" customFormat="1"/>
    <row r="249" s="19" customFormat="1"/>
    <row r="250" s="19" customFormat="1"/>
    <row r="251" s="19" customFormat="1"/>
    <row r="252" s="19" customFormat="1"/>
    <row r="253" s="19" customFormat="1"/>
    <row r="254" s="19" customFormat="1"/>
    <row r="255" s="19" customFormat="1"/>
    <row r="256" s="19" customFormat="1"/>
    <row r="257" s="19" customFormat="1"/>
    <row r="258" s="19" customFormat="1"/>
    <row r="259" s="19" customFormat="1"/>
    <row r="260" s="19" customFormat="1"/>
    <row r="261" s="19" customFormat="1"/>
    <row r="262" s="19" customFormat="1"/>
    <row r="263" s="19" customFormat="1"/>
    <row r="264" s="19" customFormat="1"/>
    <row r="265" s="19" customFormat="1"/>
    <row r="266" s="19" customFormat="1"/>
    <row r="267" s="19" customFormat="1"/>
    <row r="268" s="19" customFormat="1"/>
    <row r="269" s="19" customFormat="1"/>
    <row r="270" s="19" customFormat="1"/>
    <row r="271" s="19" customFormat="1"/>
    <row r="272" s="19" customFormat="1"/>
    <row r="273" s="19" customFormat="1"/>
    <row r="274" s="19" customFormat="1"/>
    <row r="275" s="19" customFormat="1"/>
    <row r="276" s="19" customFormat="1"/>
    <row r="277" s="19" customFormat="1"/>
    <row r="278" s="19" customFormat="1"/>
    <row r="279" s="19" customFormat="1"/>
    <row r="280" s="19" customFormat="1"/>
    <row r="281" s="19" customFormat="1"/>
    <row r="282" s="19" customFormat="1"/>
    <row r="283" s="19" customFormat="1"/>
    <row r="284" s="19" customFormat="1"/>
    <row r="285" s="19" customFormat="1"/>
    <row r="286" s="19" customFormat="1"/>
    <row r="287" s="19" customFormat="1"/>
    <row r="288" s="19" customFormat="1"/>
    <row r="289" s="19" customFormat="1"/>
    <row r="290" s="19" customFormat="1"/>
    <row r="291" s="19" customFormat="1"/>
    <row r="292" s="19" customFormat="1"/>
    <row r="293" s="19" customFormat="1"/>
    <row r="294" s="19" customFormat="1"/>
    <row r="295" s="19" customFormat="1"/>
    <row r="296" s="19" customFormat="1"/>
    <row r="297" s="19" customFormat="1"/>
    <row r="298" s="19" customFormat="1"/>
    <row r="299" s="19" customFormat="1"/>
    <row r="300" s="19" customFormat="1"/>
    <row r="301" s="19" customFormat="1"/>
    <row r="302" s="19" customFormat="1"/>
    <row r="303" s="19" customFormat="1"/>
    <row r="304" s="19" customFormat="1"/>
    <row r="305" s="19" customFormat="1"/>
    <row r="306" s="19" customFormat="1"/>
    <row r="307" s="19" customFormat="1"/>
    <row r="308" s="19" customFormat="1"/>
    <row r="309" s="19" customFormat="1"/>
    <row r="310" s="19" customFormat="1"/>
    <row r="311" s="19" customFormat="1"/>
    <row r="312" s="19" customFormat="1"/>
    <row r="313" s="19" customFormat="1"/>
    <row r="314" s="19" customFormat="1"/>
    <row r="315" s="19" customFormat="1"/>
    <row r="316" s="19" customFormat="1"/>
    <row r="317" s="19" customFormat="1"/>
    <row r="318" s="19" customFormat="1"/>
    <row r="319" s="19" customFormat="1"/>
    <row r="320" s="19" customFormat="1"/>
    <row r="321" s="19" customFormat="1"/>
    <row r="322" s="19" customFormat="1"/>
    <row r="323" s="19" customFormat="1"/>
    <row r="324" s="19" customFormat="1"/>
    <row r="325" s="19" customFormat="1"/>
    <row r="326" s="19" customFormat="1"/>
    <row r="327" s="19" customFormat="1"/>
    <row r="328" s="19" customFormat="1"/>
    <row r="329" s="19" customFormat="1"/>
    <row r="330" s="19" customFormat="1"/>
    <row r="331" s="19" customFormat="1"/>
    <row r="332" s="19" customFormat="1"/>
    <row r="333" s="19" customFormat="1"/>
    <row r="334" s="19" customFormat="1"/>
    <row r="335" s="19" customFormat="1"/>
    <row r="336" s="19" customFormat="1"/>
    <row r="337" s="19" customFormat="1"/>
    <row r="338" s="19" customFormat="1"/>
    <row r="339" s="19" customFormat="1"/>
    <row r="340" s="19" customFormat="1"/>
    <row r="341" s="19" customFormat="1"/>
    <row r="342" s="19" customFormat="1"/>
    <row r="343" s="19" customFormat="1"/>
    <row r="344" s="19" customFormat="1"/>
    <row r="345" s="19" customFormat="1"/>
    <row r="346" s="19" customFormat="1"/>
    <row r="347" s="19" customFormat="1"/>
    <row r="348" s="19" customFormat="1"/>
    <row r="349" s="19" customFormat="1"/>
    <row r="350" s="19" customFormat="1"/>
    <row r="351" s="19" customFormat="1"/>
    <row r="352" s="19" customFormat="1"/>
    <row r="353" s="19" customFormat="1"/>
    <row r="354" s="19" customFormat="1"/>
    <row r="355" s="19" customFormat="1"/>
    <row r="356" s="19" customFormat="1"/>
    <row r="357" s="19" customFormat="1"/>
    <row r="358" s="19" customFormat="1"/>
    <row r="359" s="19" customFormat="1"/>
    <row r="360" s="19" customFormat="1"/>
    <row r="361" s="19" customFormat="1"/>
    <row r="362" s="19" customFormat="1"/>
    <row r="363" s="19" customFormat="1"/>
    <row r="364" s="19" customFormat="1"/>
    <row r="365" s="19" customFormat="1"/>
    <row r="366" s="19" customFormat="1"/>
    <row r="367" s="19" customFormat="1"/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outlinePr showOutlineSymbols="0"/>
  </sheetPr>
  <dimension ref="A8:FA24"/>
  <sheetViews>
    <sheetView showGridLines="0" showRowColHeaders="0" showZeros="0" showOutlineSymbols="0" workbookViewId="0">
      <selection activeCell="J10" sqref="J10:N10"/>
    </sheetView>
  </sheetViews>
  <sheetFormatPr defaultRowHeight="15"/>
  <cols>
    <col min="1" max="157" width="9.140625" style="19"/>
  </cols>
  <sheetData>
    <row r="8" spans="7:19">
      <c r="G8" s="1"/>
      <c r="H8" s="2"/>
      <c r="I8" s="2"/>
      <c r="J8" s="2"/>
      <c r="K8" s="2"/>
      <c r="L8" s="2"/>
      <c r="M8" s="2"/>
      <c r="N8" s="2"/>
      <c r="O8" s="3"/>
    </row>
    <row r="9" spans="7:19" ht="16.5" customHeight="1">
      <c r="G9" s="4"/>
      <c r="H9" s="5"/>
      <c r="I9" s="5"/>
      <c r="J9" s="5"/>
      <c r="K9" s="5"/>
      <c r="L9" s="5"/>
      <c r="M9" s="5"/>
      <c r="N9" s="5"/>
      <c r="O9" s="6"/>
    </row>
    <row r="10" spans="7:19" ht="16.5" customHeight="1">
      <c r="G10" s="4"/>
      <c r="H10" s="78" t="s">
        <v>0</v>
      </c>
      <c r="I10" s="78"/>
      <c r="J10" s="79"/>
      <c r="K10" s="80"/>
      <c r="L10" s="80"/>
      <c r="M10" s="80"/>
      <c r="N10" s="81"/>
      <c r="O10" s="6"/>
    </row>
    <row r="11" spans="7:19">
      <c r="G11" s="4"/>
      <c r="H11" s="5"/>
      <c r="I11" s="5"/>
      <c r="J11" s="5"/>
      <c r="K11" s="5"/>
      <c r="L11" s="5"/>
      <c r="M11" s="5"/>
      <c r="N11" s="5"/>
      <c r="O11" s="6"/>
    </row>
    <row r="12" spans="7:19" ht="20.25">
      <c r="G12" s="4"/>
      <c r="H12" s="78" t="s">
        <v>2</v>
      </c>
      <c r="I12" s="78"/>
      <c r="J12" s="79"/>
      <c r="K12" s="81"/>
      <c r="L12" s="5"/>
      <c r="M12" s="5"/>
      <c r="N12" s="5"/>
      <c r="O12" s="6"/>
      <c r="S12" s="20"/>
    </row>
    <row r="13" spans="7:19">
      <c r="G13" s="4"/>
      <c r="H13" s="5"/>
      <c r="I13" s="5"/>
      <c r="J13" s="5"/>
      <c r="K13" s="5"/>
      <c r="L13" s="5"/>
      <c r="M13" s="5"/>
      <c r="N13" s="5"/>
      <c r="O13" s="6"/>
    </row>
    <row r="14" spans="7:19" ht="20.25">
      <c r="G14" s="4"/>
      <c r="H14" s="78" t="s">
        <v>3</v>
      </c>
      <c r="I14" s="78"/>
      <c r="J14" s="82">
        <f ca="1">TODAY()</f>
        <v>43560</v>
      </c>
      <c r="K14" s="81"/>
      <c r="L14" s="5"/>
      <c r="M14" s="5"/>
      <c r="N14" s="5"/>
      <c r="O14" s="6"/>
    </row>
    <row r="15" spans="7:19">
      <c r="G15" s="4"/>
      <c r="H15" s="5"/>
      <c r="I15" s="5"/>
      <c r="J15" s="5"/>
      <c r="K15" s="5"/>
      <c r="L15" s="5"/>
      <c r="M15" s="5"/>
      <c r="N15" s="5"/>
      <c r="O15" s="6"/>
    </row>
    <row r="16" spans="7:19" ht="20.25">
      <c r="G16" s="4"/>
      <c r="H16" s="78" t="s">
        <v>4</v>
      </c>
      <c r="I16" s="78"/>
      <c r="J16" s="83"/>
      <c r="K16" s="84"/>
      <c r="L16" s="5"/>
      <c r="M16" s="5"/>
      <c r="N16" s="5"/>
      <c r="O16" s="6"/>
    </row>
    <row r="17" spans="7:15">
      <c r="G17" s="4"/>
      <c r="H17" s="5"/>
      <c r="I17" s="5"/>
      <c r="J17" s="5"/>
      <c r="K17" s="5"/>
      <c r="L17" s="5"/>
      <c r="M17" s="5"/>
      <c r="N17" s="5"/>
      <c r="O17" s="6"/>
    </row>
    <row r="18" spans="7:15">
      <c r="G18" s="4"/>
      <c r="H18" s="5"/>
      <c r="I18" s="5"/>
      <c r="J18" s="5"/>
      <c r="K18" s="5"/>
      <c r="L18" s="5"/>
      <c r="M18" s="5"/>
      <c r="N18" s="5"/>
      <c r="O18" s="6"/>
    </row>
    <row r="19" spans="7:15">
      <c r="G19" s="4"/>
      <c r="H19" s="5"/>
      <c r="I19" s="5"/>
      <c r="J19" s="5"/>
      <c r="K19" s="5"/>
      <c r="L19" s="5"/>
      <c r="M19" s="5"/>
      <c r="N19" s="5"/>
      <c r="O19" s="6"/>
    </row>
    <row r="20" spans="7:15">
      <c r="G20" s="4"/>
      <c r="H20" s="5"/>
      <c r="I20" s="5"/>
      <c r="J20" s="5"/>
      <c r="K20" s="5"/>
      <c r="L20" s="5"/>
      <c r="M20" s="5"/>
      <c r="N20" s="5"/>
      <c r="O20" s="6"/>
    </row>
    <row r="21" spans="7:15">
      <c r="G21" s="4"/>
      <c r="H21" s="5"/>
      <c r="I21" s="5"/>
      <c r="J21" s="5"/>
      <c r="K21" s="5"/>
      <c r="L21" s="5"/>
      <c r="M21" s="5"/>
      <c r="N21" s="5"/>
      <c r="O21" s="6"/>
    </row>
    <row r="22" spans="7:15">
      <c r="G22" s="4"/>
      <c r="H22" s="5"/>
      <c r="I22" s="5"/>
      <c r="J22" s="5"/>
      <c r="K22" s="5"/>
      <c r="L22" s="5"/>
      <c r="M22" s="5"/>
      <c r="N22" s="5"/>
      <c r="O22" s="6"/>
    </row>
    <row r="23" spans="7:15">
      <c r="G23" s="4"/>
      <c r="H23" s="5"/>
      <c r="I23" s="5"/>
      <c r="J23" s="5"/>
      <c r="K23" s="5"/>
      <c r="L23" s="5"/>
      <c r="M23" s="5"/>
      <c r="N23" s="5"/>
      <c r="O23" s="6"/>
    </row>
    <row r="24" spans="7:15">
      <c r="G24" s="7"/>
      <c r="H24" s="8"/>
      <c r="I24" s="8"/>
      <c r="J24" s="8"/>
      <c r="K24" s="8"/>
      <c r="L24" s="8"/>
      <c r="M24" s="8"/>
      <c r="N24" s="8"/>
      <c r="O24" s="9"/>
    </row>
  </sheetData>
  <mergeCells count="8">
    <mergeCell ref="H10:I10"/>
    <mergeCell ref="H12:I12"/>
    <mergeCell ref="H14:I14"/>
    <mergeCell ref="H16:I16"/>
    <mergeCell ref="J10:N10"/>
    <mergeCell ref="J12:K12"/>
    <mergeCell ref="J14:K14"/>
    <mergeCell ref="J16:K1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>
    <outlinePr showOutlineSymbols="0"/>
  </sheetPr>
  <dimension ref="A1:CG1"/>
  <sheetViews>
    <sheetView showGridLines="0" showRowColHeaders="0" showZeros="0" showOutlineSymbols="0" workbookViewId="0">
      <selection activeCell="R54" sqref="R54"/>
    </sheetView>
  </sheetViews>
  <sheetFormatPr defaultRowHeight="15"/>
  <cols>
    <col min="1" max="85" width="9.140625" style="19"/>
  </cols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>
    <outlinePr showOutlineSymbols="0"/>
  </sheetPr>
  <dimension ref="A2:DQ1555"/>
  <sheetViews>
    <sheetView showGridLines="0" showRowColHeaders="0" showZeros="0" showOutlineSymbols="0" workbookViewId="0">
      <selection activeCell="G3" sqref="G3:O4"/>
    </sheetView>
  </sheetViews>
  <sheetFormatPr defaultRowHeight="15"/>
  <cols>
    <col min="1" max="1" width="9.140625" style="19"/>
    <col min="2" max="2" width="9.42578125" style="51" customWidth="1"/>
    <col min="3" max="6" width="9.140625" style="19"/>
    <col min="7" max="7" width="9.140625" style="57"/>
    <col min="8" max="15" width="9.140625" style="19"/>
    <col min="16" max="16" width="9.140625" style="57"/>
    <col min="17" max="17" width="9.140625" style="19"/>
    <col min="18" max="18" width="9.140625" style="57"/>
    <col min="19" max="19" width="10.140625" style="66" bestFit="1" customWidth="1"/>
    <col min="20" max="121" width="9.140625" style="19"/>
  </cols>
  <sheetData>
    <row r="2" spans="2:19" ht="21" customHeight="1">
      <c r="B2" s="48"/>
      <c r="C2" s="22" t="s">
        <v>6</v>
      </c>
      <c r="D2" s="2"/>
      <c r="E2" s="2"/>
      <c r="F2" s="2"/>
      <c r="G2" s="86" t="s">
        <v>7</v>
      </c>
      <c r="H2" s="86"/>
      <c r="I2" s="86"/>
      <c r="J2" s="2"/>
      <c r="K2" s="2"/>
      <c r="L2" s="2"/>
      <c r="M2" s="2"/>
      <c r="N2" s="2"/>
      <c r="O2" s="2"/>
      <c r="P2" s="58"/>
      <c r="Q2" s="107" t="s">
        <v>32</v>
      </c>
      <c r="R2" s="107"/>
      <c r="S2" s="63"/>
    </row>
    <row r="3" spans="2:19" ht="15" customHeight="1">
      <c r="B3" s="49"/>
      <c r="C3" s="1"/>
      <c r="D3" s="2"/>
      <c r="E3" s="3"/>
      <c r="F3" s="5"/>
      <c r="G3" s="90"/>
      <c r="H3" s="91"/>
      <c r="I3" s="91"/>
      <c r="J3" s="91"/>
      <c r="K3" s="91"/>
      <c r="L3" s="91"/>
      <c r="M3" s="91"/>
      <c r="N3" s="91"/>
      <c r="O3" s="92"/>
      <c r="P3" s="52"/>
      <c r="Q3" s="103">
        <v>0</v>
      </c>
      <c r="R3" s="104"/>
      <c r="S3" s="64"/>
    </row>
    <row r="4" spans="2:19" ht="15" customHeight="1">
      <c r="B4" s="49"/>
      <c r="C4" s="4"/>
      <c r="D4" s="5"/>
      <c r="E4" s="6"/>
      <c r="F4" s="5"/>
      <c r="G4" s="93"/>
      <c r="H4" s="94"/>
      <c r="I4" s="94"/>
      <c r="J4" s="94"/>
      <c r="K4" s="94"/>
      <c r="L4" s="94"/>
      <c r="M4" s="94"/>
      <c r="N4" s="94"/>
      <c r="O4" s="95"/>
      <c r="P4" s="52"/>
      <c r="Q4" s="105"/>
      <c r="R4" s="106"/>
      <c r="S4" s="64"/>
    </row>
    <row r="5" spans="2:19">
      <c r="B5" s="49"/>
      <c r="C5" s="4"/>
      <c r="D5" s="5"/>
      <c r="E5" s="6"/>
      <c r="F5" s="5"/>
      <c r="G5" s="52"/>
      <c r="H5" s="5"/>
      <c r="I5" s="5"/>
      <c r="J5" s="5"/>
      <c r="K5" s="5"/>
      <c r="L5" s="5"/>
      <c r="M5" s="5"/>
      <c r="N5" s="5"/>
      <c r="O5" s="5"/>
      <c r="P5" s="52"/>
      <c r="Q5" s="5"/>
      <c r="R5" s="52"/>
      <c r="S5" s="64"/>
    </row>
    <row r="6" spans="2:19" ht="18.75">
      <c r="B6" s="49"/>
      <c r="C6" s="4"/>
      <c r="D6" s="5"/>
      <c r="E6" s="6"/>
      <c r="F6" s="5"/>
      <c r="G6" s="53"/>
      <c r="H6" s="2"/>
      <c r="I6" s="2"/>
      <c r="J6" s="2"/>
      <c r="K6" s="2"/>
      <c r="L6" s="2"/>
      <c r="M6" s="2"/>
      <c r="N6" s="2"/>
      <c r="O6" s="3"/>
      <c r="P6" s="52"/>
      <c r="Q6" s="108" t="s">
        <v>16</v>
      </c>
      <c r="R6" s="108"/>
      <c r="S6" s="64"/>
    </row>
    <row r="7" spans="2:19" ht="15.75">
      <c r="B7" s="49"/>
      <c r="C7" s="4"/>
      <c r="D7" s="5"/>
      <c r="E7" s="6"/>
      <c r="F7" s="5"/>
      <c r="G7" s="101" t="s">
        <v>12</v>
      </c>
      <c r="H7" s="102"/>
      <c r="I7" s="96" t="e">
        <f>VLOOKUP(G3,BDserviços!A2:D1000000,1,0)</f>
        <v>#N/A</v>
      </c>
      <c r="J7" s="97"/>
      <c r="K7" s="97"/>
      <c r="L7" s="97"/>
      <c r="M7" s="97"/>
      <c r="N7" s="98"/>
      <c r="O7" s="6"/>
      <c r="P7" s="52"/>
      <c r="Q7" s="109">
        <f>SUM(S1:S1000083)</f>
        <v>0</v>
      </c>
      <c r="R7" s="110"/>
      <c r="S7" s="64"/>
    </row>
    <row r="8" spans="2:19">
      <c r="B8" s="49"/>
      <c r="C8" s="4"/>
      <c r="D8" s="5"/>
      <c r="E8" s="6"/>
      <c r="F8" s="5"/>
      <c r="G8" s="54"/>
      <c r="H8" s="5"/>
      <c r="I8" s="5"/>
      <c r="J8" s="5"/>
      <c r="K8" s="5"/>
      <c r="L8" s="5"/>
      <c r="M8" s="5"/>
      <c r="N8" s="5"/>
      <c r="O8" s="6"/>
      <c r="P8" s="52"/>
      <c r="Q8" s="111"/>
      <c r="R8" s="112"/>
      <c r="S8" s="64"/>
    </row>
    <row r="9" spans="2:19" ht="15.75">
      <c r="B9" s="49"/>
      <c r="C9" s="4"/>
      <c r="D9" s="5"/>
      <c r="E9" s="6"/>
      <c r="F9" s="5"/>
      <c r="G9" s="101" t="s">
        <v>13</v>
      </c>
      <c r="H9" s="102"/>
      <c r="I9" s="96" t="e">
        <f>VLOOKUP(G3,BDserviços!A2:D1000000,2,0)</f>
        <v>#N/A</v>
      </c>
      <c r="J9" s="97"/>
      <c r="K9" s="97"/>
      <c r="L9" s="97"/>
      <c r="M9" s="97"/>
      <c r="N9" s="98"/>
      <c r="O9" s="6"/>
      <c r="P9" s="52"/>
      <c r="Q9" s="5"/>
      <c r="R9" s="52"/>
      <c r="S9" s="64"/>
    </row>
    <row r="10" spans="2:19" ht="18.75">
      <c r="B10" s="49"/>
      <c r="C10" s="4"/>
      <c r="D10" s="5"/>
      <c r="E10" s="6"/>
      <c r="F10" s="5"/>
      <c r="G10" s="54"/>
      <c r="H10" s="5"/>
      <c r="I10" s="5"/>
      <c r="J10" s="5"/>
      <c r="K10" s="5"/>
      <c r="L10" s="5"/>
      <c r="M10" s="5"/>
      <c r="N10" s="5"/>
      <c r="O10" s="6"/>
      <c r="P10" s="52"/>
      <c r="Q10" s="108" t="s">
        <v>1</v>
      </c>
      <c r="R10" s="108"/>
      <c r="S10" s="64"/>
    </row>
    <row r="11" spans="2:19" ht="15.75">
      <c r="B11" s="49"/>
      <c r="C11" s="4"/>
      <c r="D11" s="5"/>
      <c r="E11" s="6"/>
      <c r="F11" s="5"/>
      <c r="G11" s="101" t="s">
        <v>14</v>
      </c>
      <c r="H11" s="102"/>
      <c r="I11" s="96" t="e">
        <f>VLOOKUP(G3,BDserviços!A2:D1000000,3,0)</f>
        <v>#N/A</v>
      </c>
      <c r="J11" s="97"/>
      <c r="K11" s="98"/>
      <c r="L11" s="23" t="s">
        <v>15</v>
      </c>
      <c r="M11" s="99" t="e">
        <f>VLOOKUP(G3,BDserviços!A2:D1000000,4,0)</f>
        <v>#N/A</v>
      </c>
      <c r="N11" s="100"/>
      <c r="O11" s="6"/>
      <c r="P11" s="52"/>
      <c r="Q11" s="113">
        <f>Q3-Q7</f>
        <v>0</v>
      </c>
      <c r="R11" s="114"/>
      <c r="S11" s="64"/>
    </row>
    <row r="12" spans="2:19">
      <c r="B12" s="49"/>
      <c r="C12" s="4"/>
      <c r="D12" s="5"/>
      <c r="E12" s="6"/>
      <c r="F12" s="5"/>
      <c r="G12" s="54"/>
      <c r="H12" s="5"/>
      <c r="I12" s="5"/>
      <c r="J12" s="5"/>
      <c r="K12" s="5"/>
      <c r="L12" s="5"/>
      <c r="M12" s="5"/>
      <c r="N12" s="5"/>
      <c r="O12" s="6"/>
      <c r="P12" s="52"/>
      <c r="Q12" s="115"/>
      <c r="R12" s="116"/>
      <c r="S12" s="64"/>
    </row>
    <row r="13" spans="2:19">
      <c r="B13" s="49"/>
      <c r="C13" s="7"/>
      <c r="D13" s="8"/>
      <c r="E13" s="9"/>
      <c r="F13" s="5"/>
      <c r="G13" s="55"/>
      <c r="H13" s="8"/>
      <c r="I13" s="8"/>
      <c r="J13" s="8"/>
      <c r="K13" s="8"/>
      <c r="L13" s="8"/>
      <c r="M13" s="8"/>
      <c r="N13" s="8"/>
      <c r="O13" s="9"/>
      <c r="P13" s="52"/>
      <c r="Q13" s="5"/>
      <c r="R13" s="52"/>
      <c r="S13" s="64"/>
    </row>
    <row r="14" spans="2:19">
      <c r="B14" s="50"/>
      <c r="C14" s="8"/>
      <c r="D14" s="8"/>
      <c r="E14" s="8"/>
      <c r="F14" s="8"/>
      <c r="G14" s="56"/>
      <c r="H14" s="8"/>
      <c r="I14" s="8"/>
      <c r="J14" s="8"/>
      <c r="K14" s="8"/>
      <c r="L14" s="8"/>
      <c r="M14" s="8"/>
      <c r="N14" s="8"/>
      <c r="O14" s="8"/>
      <c r="P14" s="56"/>
      <c r="Q14" s="8"/>
      <c r="R14" s="56"/>
      <c r="S14" s="65"/>
    </row>
    <row r="15" spans="2:19" ht="17.25" customHeight="1">
      <c r="B15" s="85" t="s">
        <v>5</v>
      </c>
      <c r="C15" s="85"/>
      <c r="D15" s="85"/>
      <c r="E15" s="21"/>
      <c r="H15" s="60"/>
    </row>
    <row r="16" spans="2:19" ht="20.25">
      <c r="B16" s="87" t="s">
        <v>8</v>
      </c>
      <c r="C16" s="88"/>
      <c r="D16" s="88"/>
      <c r="E16" s="88"/>
      <c r="F16" s="89"/>
      <c r="G16" s="87" t="s">
        <v>9</v>
      </c>
      <c r="H16" s="88"/>
      <c r="I16" s="88"/>
      <c r="J16" s="88"/>
      <c r="K16" s="88"/>
      <c r="L16" s="88"/>
      <c r="M16" s="88"/>
      <c r="N16" s="88"/>
      <c r="O16" s="89"/>
      <c r="P16" s="87" t="s">
        <v>10</v>
      </c>
      <c r="Q16" s="89"/>
      <c r="R16" s="87" t="s">
        <v>11</v>
      </c>
      <c r="S16" s="89"/>
    </row>
    <row r="17" spans="2:19">
      <c r="B17" s="57"/>
      <c r="G17" s="19"/>
      <c r="O17" s="57"/>
      <c r="P17" s="19"/>
      <c r="Q17" s="57"/>
      <c r="R17" s="19"/>
      <c r="S17" s="60"/>
    </row>
    <row r="18" spans="2:19">
      <c r="B18" s="57"/>
      <c r="G18" s="19"/>
      <c r="O18" s="57"/>
      <c r="P18" s="19"/>
      <c r="Q18" s="57"/>
      <c r="R18" s="19"/>
      <c r="S18" s="60"/>
    </row>
    <row r="19" spans="2:19">
      <c r="B19" s="57"/>
      <c r="G19" s="19"/>
      <c r="O19" s="57"/>
      <c r="P19" s="19"/>
      <c r="Q19" s="57"/>
      <c r="R19" s="19"/>
      <c r="S19" s="60"/>
    </row>
    <row r="20" spans="2:19">
      <c r="B20" s="57"/>
      <c r="G20" s="19"/>
      <c r="O20" s="57"/>
      <c r="P20" s="19"/>
      <c r="Q20" s="57"/>
      <c r="R20" s="19"/>
      <c r="S20" s="60"/>
    </row>
    <row r="21" spans="2:19">
      <c r="B21" s="57"/>
      <c r="G21" s="19"/>
      <c r="O21" s="57"/>
      <c r="P21" s="19"/>
      <c r="Q21" s="57"/>
      <c r="R21" s="19"/>
      <c r="S21" s="60"/>
    </row>
    <row r="22" spans="2:19">
      <c r="B22" s="57"/>
      <c r="G22" s="19"/>
      <c r="O22" s="57"/>
      <c r="P22" s="19"/>
      <c r="Q22" s="57"/>
      <c r="R22" s="19"/>
      <c r="S22" s="60"/>
    </row>
    <row r="23" spans="2:19">
      <c r="B23" s="57"/>
      <c r="G23" s="19"/>
      <c r="O23" s="57"/>
      <c r="P23" s="19"/>
      <c r="Q23" s="57"/>
      <c r="R23" s="19"/>
      <c r="S23" s="60"/>
    </row>
    <row r="24" spans="2:19">
      <c r="B24" s="57"/>
      <c r="G24" s="19"/>
      <c r="O24" s="57"/>
      <c r="P24" s="19"/>
      <c r="Q24" s="57"/>
      <c r="R24" s="19"/>
      <c r="S24" s="60"/>
    </row>
    <row r="25" spans="2:19">
      <c r="B25" s="57"/>
      <c r="G25" s="19"/>
      <c r="O25" s="57"/>
      <c r="P25" s="19"/>
      <c r="Q25" s="57"/>
      <c r="R25" s="19"/>
      <c r="S25" s="60"/>
    </row>
    <row r="26" spans="2:19">
      <c r="B26" s="57"/>
      <c r="G26" s="19"/>
      <c r="O26" s="57"/>
      <c r="P26" s="19"/>
      <c r="Q26" s="57"/>
      <c r="R26" s="19"/>
      <c r="S26" s="60"/>
    </row>
    <row r="27" spans="2:19">
      <c r="B27" s="57"/>
      <c r="G27" s="19"/>
      <c r="O27" s="57"/>
      <c r="P27" s="19"/>
      <c r="Q27" s="57"/>
      <c r="R27" s="19"/>
      <c r="S27" s="60"/>
    </row>
    <row r="28" spans="2:19">
      <c r="B28" s="57"/>
      <c r="G28" s="19"/>
      <c r="O28" s="57"/>
      <c r="P28" s="19"/>
      <c r="Q28" s="57"/>
      <c r="R28" s="19"/>
      <c r="S28" s="60"/>
    </row>
    <row r="29" spans="2:19">
      <c r="B29" s="57"/>
      <c r="G29" s="19"/>
      <c r="O29" s="57"/>
      <c r="P29" s="19"/>
      <c r="Q29" s="57"/>
      <c r="R29" s="19"/>
      <c r="S29" s="60"/>
    </row>
    <row r="30" spans="2:19">
      <c r="B30" s="57"/>
      <c r="G30" s="19"/>
      <c r="O30" s="57"/>
      <c r="P30" s="19"/>
      <c r="Q30" s="57"/>
      <c r="R30" s="19"/>
      <c r="S30" s="60"/>
    </row>
    <row r="31" spans="2:19">
      <c r="B31" s="57"/>
      <c r="G31" s="19"/>
      <c r="O31" s="57"/>
      <c r="P31" s="19"/>
      <c r="Q31" s="57"/>
      <c r="R31" s="19"/>
      <c r="S31" s="60"/>
    </row>
    <row r="32" spans="2:19">
      <c r="B32" s="57"/>
      <c r="G32" s="19"/>
      <c r="O32" s="57"/>
      <c r="P32" s="19"/>
      <c r="Q32" s="57"/>
      <c r="R32" s="19"/>
      <c r="S32" s="60"/>
    </row>
    <row r="33" spans="2:19">
      <c r="B33" s="57"/>
      <c r="G33" s="19"/>
      <c r="O33" s="57"/>
      <c r="P33" s="19"/>
      <c r="Q33" s="57"/>
      <c r="R33" s="19"/>
      <c r="S33" s="60"/>
    </row>
    <row r="34" spans="2:19">
      <c r="B34" s="57"/>
      <c r="G34" s="19"/>
      <c r="O34" s="57"/>
      <c r="P34" s="19"/>
      <c r="Q34" s="57"/>
      <c r="R34" s="19"/>
      <c r="S34" s="60"/>
    </row>
    <row r="35" spans="2:19">
      <c r="B35" s="57"/>
      <c r="G35" s="19"/>
      <c r="O35" s="57"/>
      <c r="P35" s="19"/>
      <c r="Q35" s="57"/>
      <c r="R35" s="19"/>
      <c r="S35" s="60"/>
    </row>
    <row r="36" spans="2:19">
      <c r="B36" s="57"/>
      <c r="G36" s="19"/>
      <c r="O36" s="57"/>
      <c r="P36" s="19"/>
      <c r="Q36" s="57"/>
      <c r="R36" s="19"/>
      <c r="S36" s="60"/>
    </row>
    <row r="37" spans="2:19">
      <c r="B37" s="57"/>
      <c r="G37" s="19"/>
      <c r="O37" s="57"/>
      <c r="P37" s="19"/>
      <c r="Q37" s="57"/>
      <c r="R37" s="19"/>
      <c r="S37" s="60"/>
    </row>
    <row r="38" spans="2:19">
      <c r="B38" s="57"/>
      <c r="G38" s="19"/>
      <c r="O38" s="57"/>
      <c r="P38" s="19"/>
      <c r="Q38" s="57"/>
      <c r="R38" s="19"/>
      <c r="S38" s="60"/>
    </row>
    <row r="39" spans="2:19">
      <c r="B39" s="57"/>
      <c r="G39" s="19"/>
      <c r="O39" s="57"/>
      <c r="P39" s="19"/>
      <c r="Q39" s="57"/>
      <c r="R39" s="19"/>
      <c r="S39" s="60"/>
    </row>
    <row r="40" spans="2:19">
      <c r="B40" s="57"/>
      <c r="G40" s="19"/>
      <c r="O40" s="57"/>
      <c r="P40" s="19"/>
      <c r="Q40" s="57"/>
      <c r="R40" s="19"/>
      <c r="S40" s="60"/>
    </row>
    <row r="41" spans="2:19">
      <c r="B41" s="57"/>
      <c r="G41" s="19"/>
      <c r="O41" s="57"/>
      <c r="P41" s="19"/>
      <c r="Q41" s="57"/>
      <c r="R41" s="19"/>
      <c r="S41" s="60"/>
    </row>
    <row r="42" spans="2:19">
      <c r="B42" s="57"/>
      <c r="G42" s="19"/>
      <c r="O42" s="57"/>
      <c r="P42" s="19"/>
      <c r="Q42" s="57"/>
      <c r="R42" s="19"/>
      <c r="S42" s="60"/>
    </row>
    <row r="43" spans="2:19">
      <c r="B43" s="57"/>
      <c r="G43" s="19"/>
      <c r="O43" s="57"/>
      <c r="P43" s="19"/>
      <c r="Q43" s="57"/>
      <c r="R43" s="19"/>
      <c r="S43" s="60"/>
    </row>
    <row r="44" spans="2:19">
      <c r="B44" s="57"/>
      <c r="G44" s="19"/>
      <c r="O44" s="57"/>
      <c r="P44" s="19"/>
      <c r="Q44" s="57"/>
      <c r="R44" s="19"/>
      <c r="S44" s="60"/>
    </row>
    <row r="45" spans="2:19">
      <c r="B45" s="57"/>
      <c r="G45" s="19"/>
      <c r="O45" s="57"/>
      <c r="P45" s="19"/>
      <c r="Q45" s="57"/>
      <c r="R45" s="19"/>
      <c r="S45" s="60"/>
    </row>
    <row r="46" spans="2:19">
      <c r="B46" s="57"/>
      <c r="G46" s="19"/>
      <c r="O46" s="57"/>
      <c r="P46" s="19"/>
      <c r="Q46" s="57"/>
      <c r="R46" s="19"/>
      <c r="S46" s="60"/>
    </row>
    <row r="47" spans="2:19">
      <c r="B47" s="57"/>
      <c r="G47" s="19"/>
      <c r="O47" s="57"/>
      <c r="P47" s="19"/>
      <c r="Q47" s="57"/>
      <c r="R47" s="19"/>
      <c r="S47" s="60"/>
    </row>
    <row r="48" spans="2:19">
      <c r="B48" s="57"/>
      <c r="G48" s="19"/>
      <c r="O48" s="57"/>
      <c r="P48" s="19"/>
      <c r="Q48" s="57"/>
      <c r="R48" s="19"/>
      <c r="S48" s="60"/>
    </row>
    <row r="49" spans="2:19">
      <c r="B49" s="57"/>
      <c r="G49" s="19"/>
      <c r="O49" s="57"/>
      <c r="P49" s="19"/>
      <c r="Q49" s="57"/>
      <c r="R49" s="19"/>
      <c r="S49" s="60"/>
    </row>
    <row r="50" spans="2:19">
      <c r="B50" s="57"/>
      <c r="G50" s="19"/>
      <c r="O50" s="57"/>
      <c r="P50" s="19"/>
      <c r="Q50" s="57"/>
      <c r="R50" s="19"/>
      <c r="S50" s="60"/>
    </row>
    <row r="51" spans="2:19">
      <c r="B51" s="57"/>
      <c r="G51" s="19"/>
      <c r="O51" s="57"/>
      <c r="P51" s="19"/>
      <c r="Q51" s="57"/>
      <c r="R51" s="19"/>
      <c r="S51" s="60"/>
    </row>
    <row r="52" spans="2:19">
      <c r="B52" s="57"/>
      <c r="G52" s="19"/>
      <c r="O52" s="57"/>
      <c r="P52" s="19"/>
      <c r="Q52" s="57"/>
      <c r="R52" s="19"/>
      <c r="S52" s="60"/>
    </row>
    <row r="53" spans="2:19">
      <c r="B53" s="57"/>
      <c r="G53" s="19"/>
      <c r="O53" s="57"/>
      <c r="P53" s="19"/>
      <c r="Q53" s="57"/>
      <c r="R53" s="19"/>
      <c r="S53" s="60"/>
    </row>
    <row r="54" spans="2:19">
      <c r="B54" s="57"/>
      <c r="G54" s="19"/>
      <c r="O54" s="57"/>
      <c r="P54" s="19"/>
      <c r="Q54" s="57"/>
      <c r="R54" s="19"/>
      <c r="S54" s="60"/>
    </row>
    <row r="55" spans="2:19">
      <c r="B55" s="57"/>
      <c r="G55" s="19"/>
      <c r="O55" s="57"/>
      <c r="P55" s="19"/>
      <c r="Q55" s="57"/>
      <c r="R55" s="19"/>
      <c r="S55" s="60"/>
    </row>
    <row r="56" spans="2:19">
      <c r="B56" s="57"/>
      <c r="G56" s="19"/>
      <c r="O56" s="57"/>
      <c r="P56" s="19"/>
      <c r="Q56" s="57"/>
      <c r="R56" s="19"/>
      <c r="S56" s="60"/>
    </row>
    <row r="57" spans="2:19">
      <c r="B57" s="57"/>
      <c r="G57" s="19"/>
      <c r="O57" s="57"/>
      <c r="P57" s="19"/>
      <c r="Q57" s="57"/>
      <c r="R57" s="19"/>
      <c r="S57" s="60"/>
    </row>
    <row r="58" spans="2:19">
      <c r="B58" s="57"/>
      <c r="G58" s="19"/>
      <c r="O58" s="57"/>
      <c r="P58" s="19"/>
      <c r="Q58" s="57"/>
      <c r="R58" s="19"/>
      <c r="S58" s="60"/>
    </row>
    <row r="59" spans="2:19">
      <c r="B59" s="57"/>
      <c r="G59" s="19"/>
      <c r="O59" s="57"/>
      <c r="P59" s="19"/>
      <c r="Q59" s="57"/>
      <c r="R59" s="19"/>
      <c r="S59" s="60"/>
    </row>
    <row r="60" spans="2:19">
      <c r="B60" s="57"/>
      <c r="G60" s="19"/>
      <c r="O60" s="57"/>
      <c r="P60" s="19"/>
      <c r="Q60" s="57"/>
      <c r="R60" s="19"/>
      <c r="S60" s="60"/>
    </row>
    <row r="61" spans="2:19">
      <c r="B61" s="57"/>
      <c r="G61" s="19"/>
      <c r="O61" s="57"/>
      <c r="P61" s="19"/>
      <c r="Q61" s="57"/>
      <c r="R61" s="19"/>
      <c r="S61" s="60"/>
    </row>
    <row r="62" spans="2:19">
      <c r="B62" s="57"/>
      <c r="G62" s="19"/>
      <c r="O62" s="57"/>
      <c r="P62" s="19"/>
      <c r="Q62" s="57"/>
      <c r="R62" s="19"/>
      <c r="S62" s="60"/>
    </row>
    <row r="63" spans="2:19">
      <c r="B63" s="57"/>
      <c r="G63" s="19"/>
      <c r="O63" s="57"/>
      <c r="P63" s="19"/>
      <c r="Q63" s="57"/>
      <c r="R63" s="19"/>
      <c r="S63" s="60"/>
    </row>
    <row r="64" spans="2:19">
      <c r="B64" s="57"/>
      <c r="G64" s="19"/>
      <c r="O64" s="57"/>
      <c r="P64" s="19"/>
      <c r="Q64" s="57"/>
      <c r="R64" s="19"/>
      <c r="S64" s="60"/>
    </row>
    <row r="65" spans="2:19">
      <c r="B65" s="57"/>
      <c r="G65" s="19"/>
      <c r="O65" s="57"/>
      <c r="P65" s="19"/>
      <c r="Q65" s="57"/>
      <c r="R65" s="19"/>
      <c r="S65" s="60"/>
    </row>
    <row r="66" spans="2:19">
      <c r="B66" s="57"/>
      <c r="G66" s="19"/>
      <c r="O66" s="57"/>
      <c r="P66" s="19"/>
      <c r="Q66" s="57"/>
      <c r="R66" s="19"/>
      <c r="S66" s="60"/>
    </row>
    <row r="67" spans="2:19">
      <c r="B67" s="57"/>
      <c r="G67" s="19"/>
      <c r="O67" s="57"/>
      <c r="P67" s="19"/>
      <c r="Q67" s="57"/>
      <c r="R67" s="19"/>
      <c r="S67" s="60"/>
    </row>
    <row r="68" spans="2:19">
      <c r="B68" s="57"/>
      <c r="G68" s="19"/>
      <c r="O68" s="57"/>
      <c r="P68" s="19"/>
      <c r="Q68" s="57"/>
      <c r="R68" s="19"/>
      <c r="S68" s="60"/>
    </row>
    <row r="69" spans="2:19">
      <c r="B69" s="57"/>
      <c r="G69" s="19"/>
      <c r="O69" s="57"/>
      <c r="P69" s="19"/>
      <c r="Q69" s="57"/>
      <c r="R69" s="19"/>
      <c r="S69" s="60"/>
    </row>
    <row r="70" spans="2:19">
      <c r="B70" s="57"/>
      <c r="G70" s="19"/>
      <c r="O70" s="57"/>
      <c r="P70" s="19"/>
      <c r="Q70" s="57"/>
      <c r="R70" s="19"/>
      <c r="S70" s="60"/>
    </row>
    <row r="71" spans="2:19">
      <c r="B71" s="57"/>
      <c r="G71" s="19"/>
      <c r="O71" s="57"/>
      <c r="P71" s="19"/>
      <c r="Q71" s="57"/>
      <c r="R71" s="19"/>
      <c r="S71" s="60"/>
    </row>
    <row r="72" spans="2:19">
      <c r="B72" s="57"/>
      <c r="G72" s="19"/>
      <c r="O72" s="57"/>
      <c r="P72" s="19"/>
      <c r="Q72" s="57"/>
      <c r="R72" s="19"/>
      <c r="S72" s="60"/>
    </row>
    <row r="73" spans="2:19">
      <c r="B73" s="57"/>
      <c r="G73" s="19"/>
      <c r="O73" s="57"/>
      <c r="P73" s="19"/>
      <c r="Q73" s="57"/>
      <c r="R73" s="19"/>
      <c r="S73" s="60"/>
    </row>
    <row r="74" spans="2:19">
      <c r="B74" s="57"/>
      <c r="G74" s="19"/>
      <c r="O74" s="57"/>
      <c r="P74" s="19"/>
      <c r="Q74" s="57"/>
      <c r="R74" s="19"/>
      <c r="S74" s="60"/>
    </row>
    <row r="75" spans="2:19">
      <c r="B75" s="57"/>
      <c r="G75" s="19"/>
      <c r="O75" s="57"/>
      <c r="P75" s="19"/>
      <c r="Q75" s="57"/>
      <c r="R75" s="19"/>
      <c r="S75" s="60"/>
    </row>
    <row r="76" spans="2:19">
      <c r="B76" s="57"/>
      <c r="G76" s="19"/>
      <c r="O76" s="57"/>
      <c r="P76" s="19"/>
      <c r="Q76" s="57"/>
      <c r="R76" s="19"/>
      <c r="S76" s="60"/>
    </row>
    <row r="77" spans="2:19">
      <c r="B77" s="57"/>
      <c r="G77" s="19"/>
      <c r="O77" s="57"/>
      <c r="P77" s="19"/>
      <c r="Q77" s="57"/>
      <c r="R77" s="19"/>
      <c r="S77" s="60"/>
    </row>
    <row r="78" spans="2:19">
      <c r="B78" s="57"/>
      <c r="G78" s="19"/>
      <c r="O78" s="57"/>
      <c r="P78" s="19"/>
      <c r="Q78" s="57"/>
      <c r="R78" s="19"/>
      <c r="S78" s="60"/>
    </row>
    <row r="79" spans="2:19">
      <c r="B79" s="57"/>
      <c r="G79" s="19"/>
      <c r="O79" s="57"/>
      <c r="P79" s="19"/>
      <c r="Q79" s="57"/>
      <c r="R79" s="19"/>
      <c r="S79" s="60"/>
    </row>
    <row r="80" spans="2:19">
      <c r="B80" s="57"/>
      <c r="G80" s="19"/>
      <c r="O80" s="57"/>
      <c r="P80" s="19"/>
      <c r="Q80" s="57"/>
      <c r="R80" s="19"/>
      <c r="S80" s="60"/>
    </row>
    <row r="81" spans="2:19">
      <c r="B81" s="57"/>
      <c r="G81" s="19"/>
      <c r="O81" s="57"/>
      <c r="P81" s="19"/>
      <c r="Q81" s="57"/>
      <c r="R81" s="19"/>
      <c r="S81" s="60"/>
    </row>
    <row r="82" spans="2:19">
      <c r="B82" s="57"/>
      <c r="G82" s="19"/>
      <c r="O82" s="57"/>
      <c r="P82" s="19"/>
      <c r="Q82" s="57"/>
      <c r="R82" s="19"/>
      <c r="S82" s="60"/>
    </row>
    <row r="83" spans="2:19">
      <c r="B83" s="57"/>
      <c r="G83" s="19"/>
      <c r="O83" s="57"/>
      <c r="P83" s="19"/>
      <c r="Q83" s="57"/>
      <c r="R83" s="19"/>
      <c r="S83" s="60"/>
    </row>
    <row r="84" spans="2:19">
      <c r="B84" s="57"/>
      <c r="G84" s="19"/>
      <c r="O84" s="57"/>
      <c r="P84" s="19"/>
      <c r="Q84" s="57"/>
      <c r="R84" s="19"/>
      <c r="S84" s="60"/>
    </row>
    <row r="85" spans="2:19">
      <c r="B85" s="57"/>
      <c r="G85" s="19"/>
      <c r="O85" s="57"/>
      <c r="P85" s="19"/>
      <c r="Q85" s="57"/>
      <c r="R85" s="19"/>
      <c r="S85" s="60"/>
    </row>
    <row r="86" spans="2:19">
      <c r="B86" s="57"/>
      <c r="G86" s="19"/>
      <c r="O86" s="57"/>
      <c r="P86" s="19"/>
      <c r="Q86" s="57"/>
      <c r="R86" s="19"/>
      <c r="S86" s="60"/>
    </row>
    <row r="87" spans="2:19">
      <c r="B87" s="57"/>
      <c r="G87" s="19"/>
      <c r="O87" s="57"/>
      <c r="P87" s="19"/>
      <c r="Q87" s="57"/>
      <c r="R87" s="19"/>
      <c r="S87" s="60"/>
    </row>
    <row r="88" spans="2:19">
      <c r="B88" s="57"/>
      <c r="G88" s="19"/>
      <c r="O88" s="57"/>
      <c r="P88" s="19"/>
      <c r="Q88" s="57"/>
      <c r="R88" s="19"/>
      <c r="S88" s="60"/>
    </row>
    <row r="89" spans="2:19">
      <c r="B89" s="57"/>
      <c r="G89" s="19"/>
      <c r="O89" s="57"/>
      <c r="P89" s="19"/>
      <c r="Q89" s="57"/>
      <c r="R89" s="19"/>
      <c r="S89" s="60"/>
    </row>
    <row r="90" spans="2:19">
      <c r="B90" s="57"/>
      <c r="G90" s="19"/>
      <c r="O90" s="57"/>
      <c r="P90" s="19"/>
      <c r="Q90" s="57"/>
      <c r="R90" s="19"/>
      <c r="S90" s="60"/>
    </row>
    <row r="91" spans="2:19">
      <c r="B91" s="57"/>
      <c r="G91" s="19"/>
      <c r="O91" s="57"/>
      <c r="P91" s="19"/>
      <c r="Q91" s="57"/>
      <c r="R91" s="19"/>
      <c r="S91" s="60"/>
    </row>
    <row r="92" spans="2:19">
      <c r="B92" s="57"/>
      <c r="G92" s="19"/>
      <c r="O92" s="57"/>
      <c r="P92" s="19"/>
      <c r="Q92" s="57"/>
      <c r="R92" s="19"/>
      <c r="S92" s="60"/>
    </row>
    <row r="93" spans="2:19">
      <c r="B93" s="57"/>
      <c r="G93" s="19"/>
      <c r="O93" s="57"/>
      <c r="P93" s="19"/>
      <c r="Q93" s="57"/>
      <c r="R93" s="19"/>
      <c r="S93" s="60"/>
    </row>
    <row r="94" spans="2:19">
      <c r="B94" s="57"/>
      <c r="G94" s="19"/>
      <c r="O94" s="57"/>
      <c r="P94" s="19"/>
      <c r="Q94" s="57"/>
      <c r="R94" s="19"/>
      <c r="S94" s="60"/>
    </row>
    <row r="95" spans="2:19">
      <c r="B95" s="57"/>
      <c r="G95" s="19"/>
      <c r="O95" s="57"/>
      <c r="P95" s="19"/>
      <c r="Q95" s="57"/>
      <c r="R95" s="19"/>
      <c r="S95" s="60"/>
    </row>
    <row r="96" spans="2:19">
      <c r="B96" s="57"/>
      <c r="G96" s="19"/>
      <c r="O96" s="57"/>
      <c r="P96" s="19"/>
      <c r="Q96" s="57"/>
      <c r="R96" s="19"/>
      <c r="S96" s="60"/>
    </row>
    <row r="97" spans="2:19">
      <c r="B97" s="57"/>
      <c r="G97" s="19"/>
      <c r="O97" s="57"/>
      <c r="P97" s="19"/>
      <c r="Q97" s="57"/>
      <c r="R97" s="19"/>
      <c r="S97" s="60"/>
    </row>
    <row r="98" spans="2:19">
      <c r="B98" s="57"/>
      <c r="G98" s="19"/>
      <c r="O98" s="57"/>
      <c r="P98" s="19"/>
      <c r="Q98" s="57"/>
      <c r="R98" s="19"/>
      <c r="S98" s="60"/>
    </row>
    <row r="99" spans="2:19">
      <c r="B99" s="57"/>
      <c r="G99" s="19"/>
      <c r="O99" s="57"/>
      <c r="P99" s="19"/>
      <c r="Q99" s="57"/>
      <c r="R99" s="19"/>
      <c r="S99" s="60"/>
    </row>
    <row r="100" spans="2:19">
      <c r="B100" s="57"/>
      <c r="G100" s="19"/>
      <c r="O100" s="57"/>
      <c r="P100" s="19"/>
      <c r="Q100" s="57"/>
      <c r="R100" s="19"/>
      <c r="S100" s="60"/>
    </row>
    <row r="101" spans="2:19">
      <c r="B101" s="57"/>
      <c r="G101" s="19"/>
      <c r="O101" s="57"/>
      <c r="P101" s="19"/>
      <c r="Q101" s="57"/>
      <c r="R101" s="19"/>
      <c r="S101" s="60"/>
    </row>
    <row r="102" spans="2:19">
      <c r="B102" s="57"/>
      <c r="G102" s="19"/>
      <c r="O102" s="57"/>
      <c r="P102" s="19"/>
      <c r="Q102" s="57"/>
      <c r="R102" s="19"/>
      <c r="S102" s="67"/>
    </row>
    <row r="103" spans="2:19">
      <c r="B103" s="57"/>
      <c r="G103" s="19"/>
      <c r="O103" s="57"/>
      <c r="P103" s="19"/>
      <c r="Q103" s="57"/>
      <c r="R103" s="19"/>
      <c r="S103" s="67"/>
    </row>
    <row r="104" spans="2:19">
      <c r="B104" s="57"/>
      <c r="G104" s="19"/>
      <c r="O104" s="57"/>
      <c r="P104" s="19"/>
      <c r="Q104" s="57"/>
      <c r="R104" s="19"/>
      <c r="S104" s="67"/>
    </row>
    <row r="105" spans="2:19">
      <c r="B105" s="57"/>
      <c r="G105" s="19"/>
      <c r="O105" s="57"/>
      <c r="P105" s="19"/>
      <c r="Q105" s="57"/>
      <c r="R105" s="19"/>
      <c r="S105" s="67"/>
    </row>
    <row r="106" spans="2:19">
      <c r="B106" s="57"/>
      <c r="G106" s="19"/>
      <c r="O106" s="57"/>
      <c r="P106" s="19"/>
      <c r="Q106" s="57"/>
      <c r="R106" s="19"/>
      <c r="S106" s="67"/>
    </row>
    <row r="107" spans="2:19">
      <c r="B107" s="57"/>
      <c r="G107" s="19"/>
      <c r="O107" s="57"/>
      <c r="P107" s="19"/>
      <c r="Q107" s="57"/>
      <c r="R107" s="19"/>
      <c r="S107" s="67"/>
    </row>
    <row r="108" spans="2:19">
      <c r="B108" s="57"/>
      <c r="G108" s="19"/>
      <c r="P108" s="19"/>
      <c r="R108" s="19"/>
    </row>
    <row r="109" spans="2:19">
      <c r="B109" s="19"/>
      <c r="G109" s="19"/>
      <c r="P109" s="19"/>
      <c r="R109" s="19"/>
    </row>
    <row r="110" spans="2:19">
      <c r="B110" s="19"/>
      <c r="G110" s="19"/>
      <c r="P110" s="19"/>
      <c r="R110" s="19"/>
    </row>
    <row r="111" spans="2:19">
      <c r="B111" s="19"/>
      <c r="G111" s="19"/>
      <c r="P111" s="19"/>
      <c r="R111" s="19"/>
    </row>
    <row r="112" spans="2:19">
      <c r="B112" s="19"/>
      <c r="G112" s="19"/>
      <c r="P112" s="19"/>
      <c r="R112" s="19"/>
    </row>
    <row r="113" spans="2:18">
      <c r="B113" s="19"/>
      <c r="G113" s="19"/>
      <c r="P113" s="19"/>
      <c r="R113" s="19"/>
    </row>
    <row r="114" spans="2:18">
      <c r="B114" s="19"/>
      <c r="G114" s="19"/>
      <c r="P114" s="19"/>
      <c r="R114" s="19"/>
    </row>
    <row r="115" spans="2:18">
      <c r="B115" s="19"/>
      <c r="G115" s="19"/>
      <c r="P115" s="19"/>
      <c r="R115" s="19"/>
    </row>
    <row r="116" spans="2:18">
      <c r="B116" s="19"/>
      <c r="G116" s="19"/>
      <c r="P116" s="19"/>
      <c r="R116" s="19"/>
    </row>
    <row r="117" spans="2:18">
      <c r="B117" s="19"/>
      <c r="G117" s="19"/>
      <c r="P117" s="19"/>
      <c r="R117" s="19"/>
    </row>
    <row r="118" spans="2:18">
      <c r="B118" s="19"/>
      <c r="G118" s="19"/>
      <c r="P118" s="19"/>
      <c r="R118" s="19"/>
    </row>
    <row r="119" spans="2:18">
      <c r="B119" s="19"/>
      <c r="G119" s="19"/>
      <c r="P119" s="19"/>
      <c r="R119" s="19"/>
    </row>
    <row r="120" spans="2:18">
      <c r="B120" s="19"/>
      <c r="G120" s="19"/>
      <c r="P120" s="19"/>
      <c r="R120" s="19"/>
    </row>
    <row r="121" spans="2:18">
      <c r="B121" s="19"/>
      <c r="G121" s="19"/>
      <c r="P121" s="19"/>
      <c r="R121" s="19"/>
    </row>
    <row r="122" spans="2:18">
      <c r="B122" s="19"/>
      <c r="G122" s="19"/>
      <c r="P122" s="19"/>
      <c r="R122" s="19"/>
    </row>
    <row r="123" spans="2:18">
      <c r="B123" s="19"/>
      <c r="G123" s="19"/>
      <c r="P123" s="19"/>
      <c r="R123" s="19"/>
    </row>
    <row r="124" spans="2:18">
      <c r="B124" s="19"/>
      <c r="G124" s="19"/>
      <c r="P124" s="19"/>
      <c r="R124" s="19"/>
    </row>
    <row r="125" spans="2:18">
      <c r="B125" s="19"/>
      <c r="G125" s="19"/>
      <c r="P125" s="19"/>
      <c r="R125" s="19"/>
    </row>
    <row r="126" spans="2:18">
      <c r="B126" s="19"/>
      <c r="G126" s="19"/>
      <c r="P126" s="19"/>
      <c r="R126" s="19"/>
    </row>
    <row r="127" spans="2:18">
      <c r="B127" s="19"/>
      <c r="G127" s="19"/>
      <c r="P127" s="19"/>
      <c r="R127" s="19"/>
    </row>
    <row r="128" spans="2:18">
      <c r="B128" s="19"/>
      <c r="G128" s="19"/>
      <c r="P128" s="19"/>
      <c r="R128" s="19"/>
    </row>
    <row r="129" spans="2:18">
      <c r="B129" s="19"/>
      <c r="G129" s="19"/>
      <c r="P129" s="19"/>
      <c r="R129" s="19"/>
    </row>
    <row r="130" spans="2:18">
      <c r="B130" s="19"/>
      <c r="G130" s="19"/>
      <c r="P130" s="19"/>
      <c r="R130" s="19"/>
    </row>
    <row r="131" spans="2:18">
      <c r="B131" s="19"/>
      <c r="G131" s="19"/>
      <c r="P131" s="19"/>
      <c r="R131" s="19"/>
    </row>
    <row r="132" spans="2:18">
      <c r="B132" s="19"/>
      <c r="G132" s="19"/>
      <c r="P132" s="19"/>
      <c r="R132" s="19"/>
    </row>
    <row r="133" spans="2:18">
      <c r="B133" s="19"/>
      <c r="G133" s="19"/>
      <c r="P133" s="19"/>
      <c r="R133" s="19"/>
    </row>
    <row r="134" spans="2:18">
      <c r="B134" s="19"/>
      <c r="G134" s="19"/>
      <c r="P134" s="19"/>
      <c r="R134" s="19"/>
    </row>
    <row r="135" spans="2:18">
      <c r="B135" s="19"/>
      <c r="G135" s="19"/>
      <c r="P135" s="19"/>
      <c r="R135" s="19"/>
    </row>
    <row r="136" spans="2:18">
      <c r="B136" s="19"/>
      <c r="G136" s="19"/>
      <c r="P136" s="19"/>
      <c r="R136" s="19"/>
    </row>
    <row r="137" spans="2:18">
      <c r="B137" s="19"/>
      <c r="G137" s="19"/>
      <c r="P137" s="19"/>
      <c r="R137" s="19"/>
    </row>
    <row r="138" spans="2:18">
      <c r="B138" s="19"/>
      <c r="G138" s="19"/>
      <c r="P138" s="19"/>
      <c r="R138" s="19"/>
    </row>
    <row r="139" spans="2:18">
      <c r="B139" s="19"/>
      <c r="G139" s="19"/>
      <c r="P139" s="19"/>
      <c r="R139" s="19"/>
    </row>
    <row r="140" spans="2:18">
      <c r="B140" s="19"/>
      <c r="G140" s="19"/>
      <c r="P140" s="19"/>
      <c r="R140" s="19"/>
    </row>
    <row r="141" spans="2:18">
      <c r="B141" s="19"/>
      <c r="G141" s="19"/>
      <c r="P141" s="19"/>
      <c r="R141" s="19"/>
    </row>
    <row r="142" spans="2:18">
      <c r="B142" s="19"/>
      <c r="G142" s="19"/>
      <c r="P142" s="19"/>
      <c r="R142" s="19"/>
    </row>
    <row r="143" spans="2:18">
      <c r="B143" s="19"/>
      <c r="G143" s="19"/>
      <c r="P143" s="19"/>
      <c r="R143" s="19"/>
    </row>
    <row r="144" spans="2:18">
      <c r="B144" s="19"/>
      <c r="G144" s="19"/>
      <c r="P144" s="19"/>
      <c r="R144" s="19"/>
    </row>
    <row r="145" spans="2:18">
      <c r="B145" s="19"/>
      <c r="G145" s="19"/>
      <c r="P145" s="19"/>
      <c r="R145" s="19"/>
    </row>
    <row r="146" spans="2:18">
      <c r="B146" s="19"/>
      <c r="G146" s="19"/>
      <c r="P146" s="19"/>
      <c r="R146" s="19"/>
    </row>
    <row r="147" spans="2:18">
      <c r="B147" s="19"/>
      <c r="G147" s="19"/>
      <c r="P147" s="19"/>
      <c r="R147" s="19"/>
    </row>
    <row r="148" spans="2:18">
      <c r="B148" s="19"/>
      <c r="G148" s="19"/>
      <c r="P148" s="19"/>
      <c r="R148" s="19"/>
    </row>
    <row r="149" spans="2:18">
      <c r="B149" s="19"/>
      <c r="G149" s="19"/>
      <c r="P149" s="19"/>
      <c r="R149" s="19"/>
    </row>
    <row r="150" spans="2:18">
      <c r="B150" s="19"/>
      <c r="G150" s="19"/>
      <c r="P150" s="19"/>
      <c r="R150" s="19"/>
    </row>
    <row r="151" spans="2:18">
      <c r="B151" s="19"/>
      <c r="G151" s="19"/>
      <c r="P151" s="19"/>
      <c r="R151" s="19"/>
    </row>
    <row r="152" spans="2:18">
      <c r="B152" s="19"/>
      <c r="G152" s="19"/>
      <c r="P152" s="19"/>
      <c r="R152" s="19"/>
    </row>
    <row r="153" spans="2:18">
      <c r="B153" s="19"/>
      <c r="G153" s="19"/>
      <c r="P153" s="19"/>
      <c r="R153" s="19"/>
    </row>
    <row r="154" spans="2:18">
      <c r="B154" s="19"/>
      <c r="G154" s="19"/>
      <c r="P154" s="19"/>
      <c r="R154" s="19"/>
    </row>
    <row r="155" spans="2:18">
      <c r="B155" s="19"/>
      <c r="G155" s="19"/>
      <c r="P155" s="19"/>
      <c r="R155" s="19"/>
    </row>
    <row r="156" spans="2:18">
      <c r="B156" s="19"/>
      <c r="G156" s="19"/>
      <c r="P156" s="19"/>
      <c r="R156" s="19"/>
    </row>
    <row r="157" spans="2:18">
      <c r="B157" s="19"/>
      <c r="G157" s="19"/>
      <c r="P157" s="19"/>
      <c r="R157" s="19"/>
    </row>
    <row r="158" spans="2:18">
      <c r="B158" s="19"/>
      <c r="G158" s="19"/>
      <c r="P158" s="19"/>
      <c r="R158" s="19"/>
    </row>
    <row r="159" spans="2:18">
      <c r="B159" s="19"/>
      <c r="G159" s="19"/>
      <c r="P159" s="19"/>
      <c r="R159" s="19"/>
    </row>
    <row r="160" spans="2:18">
      <c r="B160" s="19"/>
      <c r="G160" s="19"/>
      <c r="P160" s="19"/>
      <c r="R160" s="19"/>
    </row>
    <row r="161" spans="2:18">
      <c r="B161" s="19"/>
      <c r="G161" s="19"/>
      <c r="P161" s="19"/>
      <c r="R161" s="19"/>
    </row>
    <row r="162" spans="2:18">
      <c r="B162" s="19"/>
      <c r="G162" s="19"/>
      <c r="P162" s="19"/>
      <c r="R162" s="19"/>
    </row>
    <row r="163" spans="2:18">
      <c r="B163" s="19"/>
      <c r="G163" s="19"/>
      <c r="P163" s="19"/>
      <c r="R163" s="19"/>
    </row>
    <row r="164" spans="2:18">
      <c r="B164" s="19"/>
      <c r="G164" s="19"/>
      <c r="P164" s="19"/>
      <c r="R164" s="19"/>
    </row>
    <row r="165" spans="2:18">
      <c r="B165" s="19"/>
      <c r="G165" s="19"/>
      <c r="P165" s="19"/>
      <c r="R165" s="19"/>
    </row>
    <row r="166" spans="2:18">
      <c r="B166" s="19"/>
      <c r="G166" s="19"/>
      <c r="P166" s="19"/>
      <c r="R166" s="19"/>
    </row>
    <row r="167" spans="2:18">
      <c r="B167" s="19"/>
      <c r="G167" s="19"/>
      <c r="P167" s="19"/>
      <c r="R167" s="19"/>
    </row>
    <row r="168" spans="2:18">
      <c r="B168" s="19"/>
      <c r="G168" s="19"/>
      <c r="P168" s="19"/>
      <c r="R168" s="19"/>
    </row>
    <row r="169" spans="2:18">
      <c r="B169" s="19"/>
      <c r="G169" s="19"/>
      <c r="P169" s="19"/>
      <c r="R169" s="19"/>
    </row>
    <row r="170" spans="2:18">
      <c r="B170" s="19"/>
      <c r="G170" s="19"/>
      <c r="P170" s="19"/>
      <c r="R170" s="19"/>
    </row>
    <row r="171" spans="2:18">
      <c r="B171" s="19"/>
      <c r="G171" s="19"/>
      <c r="P171" s="19"/>
      <c r="R171" s="19"/>
    </row>
    <row r="172" spans="2:18">
      <c r="B172" s="19"/>
      <c r="G172" s="19"/>
      <c r="P172" s="19"/>
      <c r="R172" s="19"/>
    </row>
    <row r="173" spans="2:18">
      <c r="B173" s="19"/>
      <c r="G173" s="19"/>
      <c r="P173" s="19"/>
      <c r="R173" s="19"/>
    </row>
    <row r="174" spans="2:18">
      <c r="B174" s="19"/>
      <c r="G174" s="19"/>
      <c r="P174" s="19"/>
      <c r="R174" s="19"/>
    </row>
    <row r="175" spans="2:18">
      <c r="B175" s="19"/>
      <c r="G175" s="19"/>
      <c r="P175" s="19"/>
      <c r="R175" s="19"/>
    </row>
    <row r="176" spans="2:18">
      <c r="B176" s="19"/>
      <c r="G176" s="19"/>
      <c r="P176" s="19"/>
      <c r="R176" s="19"/>
    </row>
    <row r="177" spans="2:18">
      <c r="B177" s="19"/>
      <c r="G177" s="19"/>
      <c r="P177" s="19"/>
      <c r="R177" s="19"/>
    </row>
    <row r="178" spans="2:18">
      <c r="B178" s="19"/>
      <c r="G178" s="19"/>
      <c r="P178" s="19"/>
      <c r="R178" s="19"/>
    </row>
    <row r="179" spans="2:18">
      <c r="B179" s="19"/>
      <c r="G179" s="19"/>
      <c r="P179" s="19"/>
      <c r="R179" s="19"/>
    </row>
    <row r="180" spans="2:18">
      <c r="B180" s="19"/>
      <c r="G180" s="19"/>
      <c r="P180" s="19"/>
      <c r="R180" s="19"/>
    </row>
    <row r="181" spans="2:18">
      <c r="B181" s="19"/>
      <c r="G181" s="19"/>
      <c r="P181" s="19"/>
      <c r="R181" s="19"/>
    </row>
    <row r="182" spans="2:18">
      <c r="B182" s="19"/>
      <c r="G182" s="19"/>
      <c r="P182" s="19"/>
      <c r="R182" s="19"/>
    </row>
    <row r="183" spans="2:18">
      <c r="B183" s="19"/>
      <c r="G183" s="19"/>
      <c r="P183" s="19"/>
      <c r="R183" s="19"/>
    </row>
    <row r="184" spans="2:18">
      <c r="B184" s="19"/>
      <c r="G184" s="19"/>
      <c r="P184" s="19"/>
      <c r="R184" s="19"/>
    </row>
    <row r="185" spans="2:18">
      <c r="B185" s="19"/>
      <c r="G185" s="19"/>
      <c r="P185" s="19"/>
      <c r="R185" s="19"/>
    </row>
    <row r="186" spans="2:18">
      <c r="B186" s="19"/>
      <c r="G186" s="19"/>
      <c r="P186" s="19"/>
      <c r="R186" s="19"/>
    </row>
    <row r="187" spans="2:18">
      <c r="B187" s="19"/>
      <c r="G187" s="19"/>
      <c r="P187" s="19"/>
      <c r="R187" s="19"/>
    </row>
    <row r="188" spans="2:18">
      <c r="B188" s="19"/>
      <c r="G188" s="19"/>
      <c r="P188" s="19"/>
      <c r="R188" s="19"/>
    </row>
    <row r="189" spans="2:18">
      <c r="B189" s="19"/>
      <c r="G189" s="19"/>
      <c r="P189" s="19"/>
      <c r="R189" s="19"/>
    </row>
    <row r="190" spans="2:18">
      <c r="B190" s="19"/>
      <c r="G190" s="19"/>
      <c r="P190" s="19"/>
      <c r="R190" s="19"/>
    </row>
    <row r="191" spans="2:18">
      <c r="B191" s="19"/>
      <c r="G191" s="19"/>
      <c r="P191" s="19"/>
      <c r="R191" s="19"/>
    </row>
    <row r="192" spans="2:18">
      <c r="B192" s="19"/>
      <c r="G192" s="19"/>
      <c r="P192" s="19"/>
      <c r="R192" s="19"/>
    </row>
    <row r="193" spans="2:18">
      <c r="B193" s="19"/>
      <c r="G193" s="19"/>
      <c r="P193" s="19"/>
      <c r="R193" s="19"/>
    </row>
    <row r="194" spans="2:18">
      <c r="B194" s="19"/>
      <c r="G194" s="19"/>
      <c r="P194" s="19"/>
      <c r="R194" s="19"/>
    </row>
    <row r="195" spans="2:18">
      <c r="B195" s="19"/>
      <c r="G195" s="19"/>
      <c r="P195" s="19"/>
      <c r="R195" s="19"/>
    </row>
    <row r="196" spans="2:18">
      <c r="B196" s="19"/>
      <c r="G196" s="19"/>
      <c r="P196" s="19"/>
      <c r="R196" s="19"/>
    </row>
    <row r="197" spans="2:18">
      <c r="B197" s="19"/>
      <c r="G197" s="19"/>
      <c r="P197" s="19"/>
      <c r="R197" s="19"/>
    </row>
    <row r="198" spans="2:18">
      <c r="B198" s="19"/>
      <c r="G198" s="19"/>
      <c r="P198" s="19"/>
      <c r="R198" s="19"/>
    </row>
    <row r="199" spans="2:18">
      <c r="B199" s="19"/>
      <c r="G199" s="19"/>
      <c r="P199" s="19"/>
      <c r="R199" s="19"/>
    </row>
    <row r="200" spans="2:18">
      <c r="B200" s="19"/>
      <c r="G200" s="19"/>
      <c r="P200" s="19"/>
      <c r="R200" s="19"/>
    </row>
    <row r="201" spans="2:18">
      <c r="B201" s="19"/>
      <c r="G201" s="19"/>
      <c r="P201" s="19"/>
      <c r="R201" s="19"/>
    </row>
    <row r="202" spans="2:18">
      <c r="B202" s="19"/>
      <c r="G202" s="19"/>
      <c r="P202" s="19"/>
      <c r="R202" s="19"/>
    </row>
    <row r="203" spans="2:18">
      <c r="B203" s="19"/>
      <c r="G203" s="19"/>
      <c r="P203" s="19"/>
      <c r="R203" s="19"/>
    </row>
    <row r="204" spans="2:18">
      <c r="B204" s="19"/>
      <c r="G204" s="19"/>
      <c r="P204" s="19"/>
      <c r="R204" s="19"/>
    </row>
    <row r="205" spans="2:18">
      <c r="B205" s="19"/>
      <c r="G205" s="19"/>
      <c r="P205" s="19"/>
      <c r="R205" s="19"/>
    </row>
    <row r="206" spans="2:18">
      <c r="B206" s="19"/>
      <c r="G206" s="19"/>
      <c r="P206" s="19"/>
      <c r="R206" s="19"/>
    </row>
    <row r="207" spans="2:18">
      <c r="B207" s="19"/>
      <c r="G207" s="19"/>
      <c r="P207" s="19"/>
      <c r="R207" s="19"/>
    </row>
    <row r="208" spans="2:18">
      <c r="B208" s="19"/>
      <c r="G208" s="19"/>
      <c r="P208" s="19"/>
      <c r="R208" s="19"/>
    </row>
    <row r="209" spans="2:18">
      <c r="B209" s="19"/>
      <c r="G209" s="19"/>
      <c r="P209" s="19"/>
      <c r="R209" s="19"/>
    </row>
    <row r="210" spans="2:18">
      <c r="B210" s="19"/>
      <c r="G210" s="19"/>
      <c r="P210" s="19"/>
      <c r="R210" s="19"/>
    </row>
    <row r="211" spans="2:18">
      <c r="B211" s="19"/>
      <c r="G211" s="19"/>
      <c r="P211" s="19"/>
      <c r="R211" s="19"/>
    </row>
    <row r="212" spans="2:18">
      <c r="B212" s="19"/>
      <c r="G212" s="19"/>
      <c r="P212" s="19"/>
      <c r="R212" s="19"/>
    </row>
    <row r="213" spans="2:18">
      <c r="B213" s="19"/>
      <c r="G213" s="19"/>
      <c r="P213" s="19"/>
      <c r="R213" s="19"/>
    </row>
    <row r="214" spans="2:18">
      <c r="B214" s="19"/>
      <c r="G214" s="19"/>
      <c r="P214" s="19"/>
      <c r="R214" s="19"/>
    </row>
    <row r="215" spans="2:18">
      <c r="B215" s="19"/>
      <c r="G215" s="19"/>
      <c r="P215" s="19"/>
      <c r="R215" s="19"/>
    </row>
    <row r="216" spans="2:18">
      <c r="B216" s="19"/>
      <c r="G216" s="19"/>
      <c r="P216" s="19"/>
      <c r="R216" s="19"/>
    </row>
    <row r="217" spans="2:18">
      <c r="B217" s="19"/>
      <c r="G217" s="19"/>
      <c r="P217" s="19"/>
      <c r="R217" s="19"/>
    </row>
    <row r="218" spans="2:18">
      <c r="B218" s="19"/>
      <c r="G218" s="19"/>
      <c r="P218" s="19"/>
      <c r="R218" s="19"/>
    </row>
    <row r="219" spans="2:18">
      <c r="B219" s="19"/>
      <c r="G219" s="19"/>
      <c r="P219" s="19"/>
      <c r="R219" s="19"/>
    </row>
    <row r="220" spans="2:18">
      <c r="B220" s="19"/>
      <c r="G220" s="19"/>
      <c r="P220" s="19"/>
      <c r="R220" s="19"/>
    </row>
    <row r="221" spans="2:18">
      <c r="B221" s="19"/>
      <c r="G221" s="19"/>
      <c r="P221" s="19"/>
      <c r="R221" s="19"/>
    </row>
    <row r="222" spans="2:18">
      <c r="B222" s="19"/>
      <c r="G222" s="19"/>
      <c r="P222" s="19"/>
      <c r="R222" s="19"/>
    </row>
    <row r="223" spans="2:18">
      <c r="B223" s="19"/>
      <c r="G223" s="19"/>
      <c r="P223" s="19"/>
      <c r="R223" s="19"/>
    </row>
    <row r="224" spans="2:18">
      <c r="B224" s="19"/>
      <c r="G224" s="19"/>
      <c r="P224" s="19"/>
      <c r="R224" s="19"/>
    </row>
    <row r="225" spans="2:18">
      <c r="B225" s="19"/>
      <c r="G225" s="19"/>
      <c r="P225" s="19"/>
      <c r="R225" s="19"/>
    </row>
    <row r="226" spans="2:18">
      <c r="B226" s="19"/>
      <c r="G226" s="19"/>
      <c r="P226" s="19"/>
      <c r="R226" s="19"/>
    </row>
    <row r="227" spans="2:18">
      <c r="B227" s="19"/>
      <c r="G227" s="19"/>
      <c r="P227" s="19"/>
      <c r="R227" s="19"/>
    </row>
    <row r="228" spans="2:18">
      <c r="B228" s="19"/>
      <c r="G228" s="19"/>
      <c r="P228" s="19"/>
      <c r="R228" s="19"/>
    </row>
    <row r="229" spans="2:18">
      <c r="B229" s="19"/>
      <c r="G229" s="19"/>
      <c r="P229" s="19"/>
      <c r="R229" s="19"/>
    </row>
    <row r="230" spans="2:18">
      <c r="B230" s="19"/>
      <c r="G230" s="19"/>
      <c r="P230" s="19"/>
      <c r="R230" s="19"/>
    </row>
    <row r="231" spans="2:18">
      <c r="B231" s="19"/>
      <c r="G231" s="19"/>
      <c r="P231" s="19"/>
      <c r="R231" s="19"/>
    </row>
    <row r="232" spans="2:18">
      <c r="B232" s="19"/>
      <c r="G232" s="19"/>
      <c r="P232" s="19"/>
      <c r="R232" s="19"/>
    </row>
    <row r="233" spans="2:18">
      <c r="B233" s="19"/>
      <c r="G233" s="19"/>
      <c r="P233" s="19"/>
      <c r="R233" s="19"/>
    </row>
    <row r="234" spans="2:18">
      <c r="B234" s="19"/>
      <c r="G234" s="19"/>
      <c r="P234" s="19"/>
      <c r="R234" s="19"/>
    </row>
    <row r="235" spans="2:18">
      <c r="B235" s="19"/>
      <c r="G235" s="19"/>
      <c r="P235" s="19"/>
      <c r="R235" s="19"/>
    </row>
    <row r="236" spans="2:18">
      <c r="B236" s="19"/>
      <c r="G236" s="19"/>
      <c r="P236" s="19"/>
      <c r="R236" s="19"/>
    </row>
    <row r="237" spans="2:18">
      <c r="B237" s="19"/>
      <c r="G237" s="19"/>
      <c r="P237" s="19"/>
      <c r="R237" s="19"/>
    </row>
    <row r="238" spans="2:18">
      <c r="B238" s="19"/>
      <c r="G238" s="19"/>
      <c r="P238" s="19"/>
      <c r="R238" s="19"/>
    </row>
    <row r="239" spans="2:18">
      <c r="B239" s="19"/>
      <c r="G239" s="19"/>
      <c r="P239" s="19"/>
      <c r="R239" s="19"/>
    </row>
    <row r="240" spans="2:18">
      <c r="B240" s="19"/>
      <c r="G240" s="19"/>
      <c r="P240" s="19"/>
      <c r="R240" s="19"/>
    </row>
    <row r="241" spans="2:18">
      <c r="B241" s="19"/>
      <c r="G241" s="19"/>
      <c r="P241" s="19"/>
      <c r="R241" s="19"/>
    </row>
    <row r="242" spans="2:18">
      <c r="B242" s="19"/>
      <c r="G242" s="19"/>
      <c r="P242" s="19"/>
      <c r="R242" s="19"/>
    </row>
    <row r="243" spans="2:18">
      <c r="B243" s="19"/>
      <c r="G243" s="19"/>
      <c r="P243" s="19"/>
      <c r="R243" s="19"/>
    </row>
    <row r="244" spans="2:18">
      <c r="B244" s="19"/>
      <c r="G244" s="19"/>
      <c r="P244" s="19"/>
      <c r="R244" s="19"/>
    </row>
    <row r="245" spans="2:18">
      <c r="B245" s="19"/>
      <c r="G245" s="19"/>
      <c r="P245" s="19"/>
      <c r="R245" s="19"/>
    </row>
    <row r="246" spans="2:18">
      <c r="B246" s="19"/>
      <c r="G246" s="19"/>
      <c r="P246" s="19"/>
      <c r="R246" s="19"/>
    </row>
    <row r="247" spans="2:18">
      <c r="B247" s="19"/>
      <c r="G247" s="19"/>
      <c r="P247" s="19"/>
      <c r="R247" s="19"/>
    </row>
    <row r="248" spans="2:18">
      <c r="B248" s="19"/>
      <c r="G248" s="19"/>
      <c r="P248" s="19"/>
      <c r="R248" s="19"/>
    </row>
    <row r="249" spans="2:18">
      <c r="B249" s="19"/>
      <c r="G249" s="19"/>
      <c r="P249" s="19"/>
      <c r="R249" s="19"/>
    </row>
    <row r="250" spans="2:18">
      <c r="B250" s="19"/>
      <c r="G250" s="19"/>
      <c r="P250" s="19"/>
      <c r="R250" s="19"/>
    </row>
    <row r="251" spans="2:18">
      <c r="B251" s="19"/>
      <c r="G251" s="19"/>
      <c r="P251" s="19"/>
      <c r="R251" s="19"/>
    </row>
    <row r="252" spans="2:18">
      <c r="B252" s="19"/>
      <c r="G252" s="19"/>
      <c r="P252" s="19"/>
      <c r="R252" s="19"/>
    </row>
    <row r="253" spans="2:18">
      <c r="B253" s="19"/>
      <c r="G253" s="19"/>
      <c r="P253" s="19"/>
      <c r="R253" s="19"/>
    </row>
    <row r="254" spans="2:18">
      <c r="B254" s="19"/>
      <c r="G254" s="19"/>
      <c r="P254" s="19"/>
      <c r="R254" s="19"/>
    </row>
    <row r="255" spans="2:18">
      <c r="B255" s="19"/>
      <c r="G255" s="19"/>
      <c r="P255" s="19"/>
      <c r="R255" s="19"/>
    </row>
    <row r="256" spans="2:18">
      <c r="B256" s="19"/>
      <c r="G256" s="19"/>
      <c r="P256" s="19"/>
      <c r="R256" s="19"/>
    </row>
    <row r="257" spans="2:18">
      <c r="B257" s="19"/>
      <c r="G257" s="19"/>
      <c r="P257" s="19"/>
      <c r="R257" s="19"/>
    </row>
    <row r="258" spans="2:18">
      <c r="B258" s="19"/>
      <c r="G258" s="19"/>
      <c r="P258" s="19"/>
      <c r="R258" s="19"/>
    </row>
    <row r="259" spans="2:18">
      <c r="B259" s="19"/>
      <c r="G259" s="19"/>
      <c r="P259" s="19"/>
      <c r="R259" s="19"/>
    </row>
    <row r="260" spans="2:18">
      <c r="B260" s="19"/>
      <c r="G260" s="19"/>
      <c r="P260" s="19"/>
      <c r="R260" s="19"/>
    </row>
    <row r="261" spans="2:18">
      <c r="B261" s="19"/>
      <c r="G261" s="19"/>
      <c r="P261" s="19"/>
      <c r="R261" s="19"/>
    </row>
    <row r="262" spans="2:18">
      <c r="B262" s="19"/>
      <c r="G262" s="19"/>
      <c r="P262" s="19"/>
      <c r="R262" s="19"/>
    </row>
    <row r="263" spans="2:18">
      <c r="B263" s="19"/>
      <c r="G263" s="19"/>
      <c r="P263" s="19"/>
      <c r="R263" s="19"/>
    </row>
    <row r="264" spans="2:18">
      <c r="B264" s="19"/>
      <c r="G264" s="19"/>
      <c r="P264" s="19"/>
      <c r="R264" s="19"/>
    </row>
    <row r="265" spans="2:18">
      <c r="B265" s="19"/>
      <c r="G265" s="19"/>
      <c r="P265" s="19"/>
      <c r="R265" s="19"/>
    </row>
    <row r="266" spans="2:18">
      <c r="B266" s="19"/>
      <c r="G266" s="19"/>
      <c r="P266" s="19"/>
      <c r="R266" s="19"/>
    </row>
    <row r="267" spans="2:18">
      <c r="B267" s="19"/>
      <c r="G267" s="19"/>
      <c r="P267" s="19"/>
      <c r="R267" s="19"/>
    </row>
    <row r="268" spans="2:18">
      <c r="B268" s="19"/>
      <c r="G268" s="19"/>
      <c r="P268" s="19"/>
      <c r="R268" s="19"/>
    </row>
    <row r="269" spans="2:18">
      <c r="B269" s="19"/>
      <c r="G269" s="19"/>
      <c r="P269" s="19"/>
      <c r="R269" s="19"/>
    </row>
    <row r="270" spans="2:18">
      <c r="B270" s="19"/>
      <c r="G270" s="19"/>
      <c r="P270" s="19"/>
      <c r="R270" s="19"/>
    </row>
    <row r="271" spans="2:18">
      <c r="B271" s="19"/>
      <c r="G271" s="19"/>
      <c r="P271" s="19"/>
      <c r="R271" s="19"/>
    </row>
    <row r="272" spans="2:18">
      <c r="B272" s="19"/>
      <c r="G272" s="19"/>
      <c r="P272" s="19"/>
      <c r="R272" s="19"/>
    </row>
    <row r="273" spans="2:18">
      <c r="B273" s="19"/>
      <c r="G273" s="19"/>
      <c r="P273" s="19"/>
      <c r="R273" s="19"/>
    </row>
    <row r="274" spans="2:18">
      <c r="B274" s="19"/>
      <c r="G274" s="19"/>
      <c r="P274" s="19"/>
      <c r="R274" s="19"/>
    </row>
    <row r="275" spans="2:18">
      <c r="B275" s="19"/>
      <c r="G275" s="19"/>
      <c r="P275" s="19"/>
      <c r="R275" s="19"/>
    </row>
    <row r="276" spans="2:18">
      <c r="B276" s="19"/>
      <c r="G276" s="19"/>
      <c r="P276" s="19"/>
      <c r="R276" s="19"/>
    </row>
    <row r="277" spans="2:18">
      <c r="B277" s="19"/>
      <c r="G277" s="19"/>
      <c r="P277" s="19"/>
      <c r="R277" s="19"/>
    </row>
    <row r="278" spans="2:18">
      <c r="B278" s="19"/>
      <c r="G278" s="19"/>
      <c r="P278" s="19"/>
      <c r="R278" s="19"/>
    </row>
    <row r="279" spans="2:18">
      <c r="B279" s="19"/>
      <c r="G279" s="19"/>
      <c r="P279" s="19"/>
      <c r="R279" s="19"/>
    </row>
    <row r="280" spans="2:18">
      <c r="B280" s="19"/>
      <c r="G280" s="19"/>
      <c r="P280" s="19"/>
      <c r="R280" s="19"/>
    </row>
    <row r="281" spans="2:18">
      <c r="B281" s="19"/>
      <c r="G281" s="19"/>
      <c r="P281" s="19"/>
      <c r="R281" s="19"/>
    </row>
    <row r="282" spans="2:18">
      <c r="B282" s="19"/>
      <c r="G282" s="19"/>
      <c r="P282" s="19"/>
      <c r="R282" s="19"/>
    </row>
    <row r="283" spans="2:18">
      <c r="B283" s="19"/>
      <c r="G283" s="19"/>
      <c r="P283" s="19"/>
      <c r="R283" s="19"/>
    </row>
    <row r="284" spans="2:18">
      <c r="B284" s="19"/>
      <c r="G284" s="19"/>
      <c r="P284" s="19"/>
      <c r="R284" s="19"/>
    </row>
    <row r="285" spans="2:18">
      <c r="B285" s="19"/>
      <c r="G285" s="19"/>
      <c r="P285" s="19"/>
      <c r="R285" s="19"/>
    </row>
    <row r="286" spans="2:18">
      <c r="B286" s="19"/>
      <c r="G286" s="19"/>
      <c r="P286" s="19"/>
      <c r="R286" s="19"/>
    </row>
    <row r="287" spans="2:18">
      <c r="B287" s="19"/>
      <c r="G287" s="19"/>
      <c r="P287" s="19"/>
      <c r="R287" s="19"/>
    </row>
    <row r="288" spans="2:18">
      <c r="B288" s="19"/>
      <c r="G288" s="19"/>
      <c r="P288" s="19"/>
      <c r="R288" s="19"/>
    </row>
    <row r="289" spans="2:18">
      <c r="B289" s="19"/>
      <c r="G289" s="19"/>
      <c r="P289" s="19"/>
      <c r="R289" s="19"/>
    </row>
    <row r="290" spans="2:18">
      <c r="B290" s="19"/>
      <c r="G290" s="19"/>
      <c r="P290" s="19"/>
      <c r="R290" s="19"/>
    </row>
    <row r="291" spans="2:18">
      <c r="B291" s="19"/>
      <c r="G291" s="19"/>
      <c r="P291" s="19"/>
      <c r="R291" s="19"/>
    </row>
    <row r="292" spans="2:18">
      <c r="B292" s="19"/>
      <c r="G292" s="19"/>
      <c r="P292" s="19"/>
      <c r="R292" s="19"/>
    </row>
    <row r="293" spans="2:18">
      <c r="B293" s="19"/>
      <c r="G293" s="19"/>
      <c r="P293" s="19"/>
      <c r="R293" s="19"/>
    </row>
    <row r="294" spans="2:18">
      <c r="B294" s="19"/>
      <c r="G294" s="19"/>
      <c r="P294" s="19"/>
      <c r="R294" s="19"/>
    </row>
    <row r="295" spans="2:18">
      <c r="B295" s="19"/>
      <c r="G295" s="19"/>
      <c r="P295" s="19"/>
      <c r="R295" s="19"/>
    </row>
    <row r="296" spans="2:18">
      <c r="B296" s="19"/>
      <c r="G296" s="19"/>
      <c r="P296" s="19"/>
      <c r="R296" s="19"/>
    </row>
    <row r="297" spans="2:18">
      <c r="B297" s="19"/>
      <c r="G297" s="19"/>
      <c r="P297" s="19"/>
      <c r="R297" s="19"/>
    </row>
    <row r="298" spans="2:18">
      <c r="B298" s="19"/>
      <c r="G298" s="19"/>
      <c r="P298" s="19"/>
      <c r="R298" s="19"/>
    </row>
    <row r="299" spans="2:18">
      <c r="B299" s="19"/>
      <c r="G299" s="19"/>
      <c r="P299" s="19"/>
      <c r="R299" s="19"/>
    </row>
    <row r="300" spans="2:18">
      <c r="B300" s="19"/>
      <c r="G300" s="19"/>
      <c r="P300" s="19"/>
      <c r="R300" s="19"/>
    </row>
    <row r="301" spans="2:18">
      <c r="B301" s="19"/>
      <c r="G301" s="19"/>
      <c r="P301" s="19"/>
      <c r="R301" s="19"/>
    </row>
    <row r="302" spans="2:18">
      <c r="B302" s="19"/>
      <c r="G302" s="19"/>
      <c r="P302" s="19"/>
      <c r="R302" s="19"/>
    </row>
    <row r="303" spans="2:18">
      <c r="B303" s="19"/>
      <c r="G303" s="19"/>
      <c r="P303" s="19"/>
      <c r="R303" s="19"/>
    </row>
    <row r="304" spans="2:18">
      <c r="B304" s="19"/>
      <c r="G304" s="19"/>
      <c r="P304" s="19"/>
      <c r="R304" s="19"/>
    </row>
    <row r="305" spans="2:18">
      <c r="B305" s="19"/>
      <c r="G305" s="19"/>
      <c r="P305" s="19"/>
      <c r="R305" s="19"/>
    </row>
    <row r="306" spans="2:18">
      <c r="B306" s="19"/>
      <c r="G306" s="19"/>
      <c r="P306" s="19"/>
      <c r="R306" s="19"/>
    </row>
    <row r="307" spans="2:18">
      <c r="B307" s="19"/>
      <c r="G307" s="19"/>
      <c r="P307" s="19"/>
      <c r="R307" s="19"/>
    </row>
    <row r="308" spans="2:18">
      <c r="B308" s="19"/>
      <c r="G308" s="19"/>
      <c r="P308" s="19"/>
      <c r="R308" s="19"/>
    </row>
    <row r="309" spans="2:18">
      <c r="B309" s="19"/>
      <c r="G309" s="19"/>
      <c r="P309" s="19"/>
      <c r="R309" s="19"/>
    </row>
    <row r="310" spans="2:18">
      <c r="B310" s="19"/>
      <c r="G310" s="19"/>
      <c r="P310" s="19"/>
      <c r="R310" s="19"/>
    </row>
    <row r="311" spans="2:18">
      <c r="B311" s="19"/>
      <c r="G311" s="19"/>
      <c r="P311" s="19"/>
      <c r="R311" s="19"/>
    </row>
    <row r="312" spans="2:18">
      <c r="B312" s="19"/>
      <c r="G312" s="19"/>
      <c r="P312" s="19"/>
      <c r="R312" s="19"/>
    </row>
    <row r="313" spans="2:18">
      <c r="B313" s="19"/>
      <c r="G313" s="19"/>
      <c r="P313" s="19"/>
      <c r="R313" s="19"/>
    </row>
    <row r="314" spans="2:18">
      <c r="B314" s="19"/>
      <c r="G314" s="19"/>
      <c r="P314" s="19"/>
      <c r="R314" s="19"/>
    </row>
    <row r="315" spans="2:18">
      <c r="B315" s="19"/>
      <c r="G315" s="19"/>
      <c r="P315" s="19"/>
      <c r="R315" s="19"/>
    </row>
    <row r="316" spans="2:18">
      <c r="B316" s="19"/>
      <c r="G316" s="19"/>
      <c r="P316" s="19"/>
      <c r="R316" s="19"/>
    </row>
    <row r="317" spans="2:18">
      <c r="B317" s="19"/>
      <c r="G317" s="19"/>
      <c r="P317" s="19"/>
      <c r="R317" s="19"/>
    </row>
    <row r="318" spans="2:18">
      <c r="B318" s="19"/>
      <c r="G318" s="19"/>
      <c r="P318" s="19"/>
      <c r="R318" s="19"/>
    </row>
    <row r="319" spans="2:18">
      <c r="B319" s="19"/>
      <c r="G319" s="19"/>
      <c r="P319" s="19"/>
      <c r="R319" s="19"/>
    </row>
    <row r="320" spans="2:18">
      <c r="B320" s="19"/>
      <c r="G320" s="19"/>
      <c r="P320" s="19"/>
      <c r="R320" s="19"/>
    </row>
    <row r="321" spans="2:18">
      <c r="B321" s="19"/>
      <c r="G321" s="19"/>
      <c r="P321" s="19"/>
      <c r="R321" s="19"/>
    </row>
    <row r="322" spans="2:18">
      <c r="B322" s="19"/>
      <c r="G322" s="19"/>
      <c r="P322" s="19"/>
      <c r="R322" s="19"/>
    </row>
    <row r="323" spans="2:18">
      <c r="B323" s="19"/>
      <c r="G323" s="19"/>
      <c r="P323" s="19"/>
      <c r="R323" s="19"/>
    </row>
    <row r="324" spans="2:18">
      <c r="B324" s="19"/>
      <c r="G324" s="19"/>
      <c r="P324" s="19"/>
      <c r="R324" s="19"/>
    </row>
    <row r="325" spans="2:18">
      <c r="B325" s="19"/>
      <c r="G325" s="19"/>
      <c r="P325" s="19"/>
      <c r="R325" s="19"/>
    </row>
    <row r="326" spans="2:18">
      <c r="B326" s="19"/>
      <c r="G326" s="19"/>
      <c r="P326" s="19"/>
      <c r="R326" s="19"/>
    </row>
    <row r="327" spans="2:18">
      <c r="B327" s="19"/>
      <c r="G327" s="19"/>
      <c r="P327" s="19"/>
      <c r="R327" s="19"/>
    </row>
    <row r="328" spans="2:18">
      <c r="B328" s="19"/>
      <c r="G328" s="19"/>
      <c r="P328" s="19"/>
      <c r="R328" s="19"/>
    </row>
    <row r="329" spans="2:18">
      <c r="B329" s="19"/>
      <c r="G329" s="19"/>
      <c r="P329" s="19"/>
      <c r="R329" s="19"/>
    </row>
    <row r="330" spans="2:18">
      <c r="B330" s="19"/>
      <c r="G330" s="19"/>
      <c r="P330" s="19"/>
      <c r="R330" s="19"/>
    </row>
    <row r="331" spans="2:18">
      <c r="B331" s="19"/>
      <c r="G331" s="19"/>
      <c r="P331" s="19"/>
      <c r="R331" s="19"/>
    </row>
    <row r="332" spans="2:18">
      <c r="B332" s="19"/>
      <c r="G332" s="19"/>
      <c r="P332" s="19"/>
      <c r="R332" s="19"/>
    </row>
    <row r="333" spans="2:18">
      <c r="B333" s="19"/>
      <c r="G333" s="19"/>
      <c r="P333" s="19"/>
      <c r="R333" s="19"/>
    </row>
    <row r="334" spans="2:18">
      <c r="B334" s="19"/>
      <c r="G334" s="19"/>
      <c r="P334" s="19"/>
      <c r="R334" s="19"/>
    </row>
    <row r="335" spans="2:18">
      <c r="B335" s="19"/>
      <c r="G335" s="19"/>
      <c r="P335" s="19"/>
      <c r="R335" s="19"/>
    </row>
    <row r="336" spans="2:18">
      <c r="B336" s="19"/>
      <c r="G336" s="19"/>
      <c r="P336" s="19"/>
      <c r="R336" s="19"/>
    </row>
    <row r="337" spans="2:18">
      <c r="B337" s="19"/>
      <c r="G337" s="19"/>
      <c r="P337" s="19"/>
      <c r="R337" s="19"/>
    </row>
    <row r="338" spans="2:18">
      <c r="B338" s="19"/>
      <c r="G338" s="19"/>
      <c r="P338" s="19"/>
      <c r="R338" s="19"/>
    </row>
    <row r="339" spans="2:18">
      <c r="B339" s="19"/>
      <c r="G339" s="19"/>
      <c r="P339" s="19"/>
      <c r="R339" s="19"/>
    </row>
    <row r="340" spans="2:18">
      <c r="B340" s="19"/>
      <c r="G340" s="19"/>
      <c r="P340" s="19"/>
      <c r="R340" s="19"/>
    </row>
    <row r="341" spans="2:18">
      <c r="B341" s="19"/>
      <c r="G341" s="19"/>
      <c r="P341" s="19"/>
      <c r="R341" s="19"/>
    </row>
    <row r="342" spans="2:18">
      <c r="B342" s="19"/>
      <c r="G342" s="19"/>
      <c r="P342" s="19"/>
      <c r="R342" s="19"/>
    </row>
    <row r="343" spans="2:18">
      <c r="B343" s="19"/>
      <c r="G343" s="19"/>
      <c r="P343" s="19"/>
      <c r="R343" s="19"/>
    </row>
    <row r="344" spans="2:18">
      <c r="B344" s="19"/>
      <c r="G344" s="19"/>
      <c r="P344" s="19"/>
      <c r="R344" s="19"/>
    </row>
    <row r="345" spans="2:18">
      <c r="B345" s="19"/>
      <c r="G345" s="19"/>
      <c r="P345" s="19"/>
      <c r="R345" s="19"/>
    </row>
    <row r="346" spans="2:18">
      <c r="B346" s="19"/>
      <c r="G346" s="19"/>
      <c r="P346" s="19"/>
      <c r="R346" s="19"/>
    </row>
    <row r="347" spans="2:18">
      <c r="B347" s="19"/>
      <c r="G347" s="19"/>
      <c r="P347" s="19"/>
      <c r="R347" s="19"/>
    </row>
    <row r="348" spans="2:18">
      <c r="B348" s="19"/>
      <c r="G348" s="19"/>
      <c r="P348" s="19"/>
      <c r="R348" s="19"/>
    </row>
    <row r="349" spans="2:18">
      <c r="B349" s="19"/>
      <c r="G349" s="19"/>
      <c r="P349" s="19"/>
      <c r="R349" s="19"/>
    </row>
    <row r="350" spans="2:18">
      <c r="B350" s="19"/>
      <c r="G350" s="19"/>
      <c r="P350" s="19"/>
      <c r="R350" s="19"/>
    </row>
    <row r="351" spans="2:18">
      <c r="B351" s="19"/>
      <c r="G351" s="19"/>
      <c r="P351" s="19"/>
      <c r="R351" s="19"/>
    </row>
    <row r="352" spans="2:18">
      <c r="B352" s="19"/>
      <c r="G352" s="19"/>
      <c r="P352" s="19"/>
      <c r="R352" s="19"/>
    </row>
    <row r="353" spans="2:18">
      <c r="B353" s="19"/>
      <c r="G353" s="19"/>
      <c r="P353" s="19"/>
      <c r="R353" s="19"/>
    </row>
    <row r="354" spans="2:18">
      <c r="B354" s="19"/>
      <c r="G354" s="19"/>
      <c r="P354" s="19"/>
      <c r="R354" s="19"/>
    </row>
    <row r="355" spans="2:18">
      <c r="B355" s="19"/>
      <c r="G355" s="19"/>
      <c r="P355" s="19"/>
      <c r="R355" s="19"/>
    </row>
    <row r="356" spans="2:18">
      <c r="B356" s="19"/>
      <c r="G356" s="19"/>
      <c r="P356" s="19"/>
      <c r="R356" s="19"/>
    </row>
    <row r="357" spans="2:18">
      <c r="B357" s="19"/>
      <c r="G357" s="19"/>
      <c r="P357" s="19"/>
      <c r="R357" s="19"/>
    </row>
    <row r="358" spans="2:18">
      <c r="B358" s="19"/>
      <c r="G358" s="19"/>
      <c r="P358" s="19"/>
      <c r="R358" s="19"/>
    </row>
    <row r="359" spans="2:18">
      <c r="B359" s="19"/>
      <c r="G359" s="19"/>
      <c r="P359" s="19"/>
      <c r="R359" s="19"/>
    </row>
    <row r="360" spans="2:18">
      <c r="B360" s="19"/>
      <c r="G360" s="19"/>
      <c r="P360" s="19"/>
      <c r="R360" s="19"/>
    </row>
    <row r="361" spans="2:18">
      <c r="B361" s="19"/>
      <c r="G361" s="19"/>
      <c r="P361" s="19"/>
      <c r="R361" s="19"/>
    </row>
    <row r="362" spans="2:18">
      <c r="B362" s="19"/>
      <c r="G362" s="19"/>
      <c r="P362" s="19"/>
      <c r="R362" s="19"/>
    </row>
    <row r="363" spans="2:18">
      <c r="B363" s="19"/>
      <c r="G363" s="19"/>
      <c r="P363" s="19"/>
      <c r="R363" s="19"/>
    </row>
    <row r="364" spans="2:18">
      <c r="B364" s="19"/>
      <c r="G364" s="19"/>
      <c r="P364" s="19"/>
      <c r="R364" s="19"/>
    </row>
    <row r="365" spans="2:18">
      <c r="B365" s="19"/>
      <c r="G365" s="19"/>
      <c r="P365" s="19"/>
      <c r="R365" s="19"/>
    </row>
    <row r="366" spans="2:18">
      <c r="B366" s="19"/>
      <c r="G366" s="19"/>
      <c r="P366" s="19"/>
      <c r="R366" s="19"/>
    </row>
    <row r="367" spans="2:18">
      <c r="B367" s="19"/>
      <c r="G367" s="19"/>
      <c r="P367" s="19"/>
      <c r="R367" s="19"/>
    </row>
    <row r="368" spans="2:18">
      <c r="B368" s="19"/>
      <c r="G368" s="19"/>
      <c r="P368" s="19"/>
      <c r="R368" s="19"/>
    </row>
    <row r="369" spans="2:18">
      <c r="B369" s="19"/>
      <c r="G369" s="19"/>
      <c r="P369" s="19"/>
      <c r="R369" s="19"/>
    </row>
    <row r="370" spans="2:18">
      <c r="B370" s="19"/>
      <c r="G370" s="19"/>
      <c r="P370" s="19"/>
      <c r="R370" s="19"/>
    </row>
    <row r="371" spans="2:18">
      <c r="B371" s="19"/>
      <c r="G371" s="19"/>
      <c r="P371" s="19"/>
      <c r="R371" s="19"/>
    </row>
    <row r="372" spans="2:18">
      <c r="B372" s="19"/>
      <c r="G372" s="19"/>
      <c r="P372" s="19"/>
      <c r="R372" s="19"/>
    </row>
    <row r="373" spans="2:18">
      <c r="B373" s="19"/>
      <c r="G373" s="19"/>
      <c r="P373" s="19"/>
      <c r="R373" s="19"/>
    </row>
    <row r="374" spans="2:18">
      <c r="B374" s="19"/>
      <c r="G374" s="19"/>
      <c r="P374" s="19"/>
      <c r="R374" s="19"/>
    </row>
    <row r="375" spans="2:18">
      <c r="B375" s="19"/>
      <c r="G375" s="19"/>
      <c r="P375" s="19"/>
      <c r="R375" s="19"/>
    </row>
    <row r="376" spans="2:18">
      <c r="B376" s="19"/>
      <c r="G376" s="19"/>
      <c r="P376" s="19"/>
      <c r="R376" s="19"/>
    </row>
    <row r="377" spans="2:18">
      <c r="B377" s="19"/>
      <c r="G377" s="19"/>
      <c r="P377" s="19"/>
      <c r="R377" s="19"/>
    </row>
    <row r="378" spans="2:18">
      <c r="B378" s="19"/>
      <c r="G378" s="19"/>
      <c r="P378" s="19"/>
      <c r="R378" s="19"/>
    </row>
    <row r="379" spans="2:18">
      <c r="B379" s="19"/>
      <c r="G379" s="19"/>
      <c r="P379" s="19"/>
      <c r="R379" s="19"/>
    </row>
    <row r="380" spans="2:18">
      <c r="B380" s="19"/>
      <c r="G380" s="19"/>
      <c r="P380" s="19"/>
      <c r="R380" s="19"/>
    </row>
    <row r="381" spans="2:18">
      <c r="B381" s="19"/>
      <c r="G381" s="19"/>
      <c r="P381" s="19"/>
      <c r="R381" s="19"/>
    </row>
    <row r="382" spans="2:18">
      <c r="B382" s="19"/>
      <c r="G382" s="19"/>
      <c r="P382" s="19"/>
      <c r="R382" s="19"/>
    </row>
    <row r="383" spans="2:18">
      <c r="B383" s="19"/>
      <c r="G383" s="19"/>
      <c r="P383" s="19"/>
      <c r="R383" s="19"/>
    </row>
    <row r="384" spans="2:18">
      <c r="B384" s="19"/>
      <c r="G384" s="19"/>
      <c r="P384" s="19"/>
      <c r="R384" s="19"/>
    </row>
    <row r="385" spans="2:18">
      <c r="B385" s="19"/>
      <c r="G385" s="19"/>
      <c r="P385" s="19"/>
      <c r="R385" s="19"/>
    </row>
    <row r="386" spans="2:18">
      <c r="B386" s="19"/>
      <c r="G386" s="19"/>
      <c r="P386" s="19"/>
      <c r="R386" s="19"/>
    </row>
    <row r="387" spans="2:18">
      <c r="B387" s="19"/>
      <c r="G387" s="19"/>
      <c r="P387" s="19"/>
      <c r="R387" s="19"/>
    </row>
    <row r="388" spans="2:18">
      <c r="B388" s="19"/>
      <c r="G388" s="19"/>
      <c r="P388" s="19"/>
      <c r="R388" s="19"/>
    </row>
    <row r="389" spans="2:18">
      <c r="B389" s="19"/>
      <c r="G389" s="19"/>
      <c r="P389" s="19"/>
      <c r="R389" s="19"/>
    </row>
    <row r="390" spans="2:18">
      <c r="B390" s="19"/>
      <c r="G390" s="19"/>
      <c r="P390" s="19"/>
      <c r="R390" s="19"/>
    </row>
    <row r="391" spans="2:18">
      <c r="B391" s="19"/>
      <c r="G391" s="19"/>
      <c r="P391" s="19"/>
      <c r="R391" s="19"/>
    </row>
    <row r="392" spans="2:18">
      <c r="B392" s="19"/>
      <c r="G392" s="19"/>
      <c r="P392" s="19"/>
      <c r="R392" s="19"/>
    </row>
    <row r="393" spans="2:18">
      <c r="B393" s="19"/>
      <c r="G393" s="19"/>
      <c r="P393" s="19"/>
      <c r="R393" s="19"/>
    </row>
    <row r="394" spans="2:18">
      <c r="B394" s="19"/>
      <c r="G394" s="19"/>
      <c r="P394" s="19"/>
      <c r="R394" s="19"/>
    </row>
    <row r="395" spans="2:18">
      <c r="B395" s="19"/>
      <c r="G395" s="19"/>
      <c r="P395" s="19"/>
      <c r="R395" s="19"/>
    </row>
    <row r="396" spans="2:18">
      <c r="B396" s="19"/>
      <c r="G396" s="19"/>
      <c r="P396" s="19"/>
      <c r="R396" s="19"/>
    </row>
    <row r="397" spans="2:18">
      <c r="B397" s="19"/>
      <c r="G397" s="19"/>
      <c r="P397" s="19"/>
      <c r="R397" s="19"/>
    </row>
    <row r="398" spans="2:18">
      <c r="B398" s="19"/>
      <c r="G398" s="19"/>
      <c r="P398" s="19"/>
      <c r="R398" s="19"/>
    </row>
    <row r="399" spans="2:18">
      <c r="B399" s="19"/>
      <c r="G399" s="19"/>
      <c r="P399" s="19"/>
      <c r="R399" s="19"/>
    </row>
    <row r="400" spans="2:18">
      <c r="B400" s="19"/>
      <c r="G400" s="19"/>
      <c r="P400" s="19"/>
      <c r="R400" s="19"/>
    </row>
    <row r="401" spans="2:18">
      <c r="B401" s="19"/>
      <c r="G401" s="19"/>
      <c r="P401" s="19"/>
      <c r="R401" s="19"/>
    </row>
    <row r="402" spans="2:18">
      <c r="B402" s="19"/>
      <c r="G402" s="19"/>
      <c r="P402" s="19"/>
      <c r="R402" s="19"/>
    </row>
    <row r="403" spans="2:18">
      <c r="B403" s="19"/>
      <c r="G403" s="19"/>
      <c r="P403" s="19"/>
      <c r="R403" s="19"/>
    </row>
    <row r="404" spans="2:18">
      <c r="B404" s="19"/>
      <c r="G404" s="19"/>
      <c r="P404" s="19"/>
      <c r="R404" s="19"/>
    </row>
    <row r="405" spans="2:18">
      <c r="B405" s="19"/>
      <c r="G405" s="19"/>
      <c r="P405" s="19"/>
      <c r="R405" s="19"/>
    </row>
    <row r="406" spans="2:18">
      <c r="B406" s="19"/>
      <c r="G406" s="19"/>
      <c r="P406" s="19"/>
      <c r="R406" s="19"/>
    </row>
    <row r="407" spans="2:18">
      <c r="B407" s="19"/>
      <c r="G407" s="19"/>
      <c r="P407" s="19"/>
      <c r="R407" s="19"/>
    </row>
    <row r="408" spans="2:18">
      <c r="B408" s="19"/>
      <c r="G408" s="19"/>
      <c r="P408" s="19"/>
      <c r="R408" s="19"/>
    </row>
    <row r="409" spans="2:18">
      <c r="B409" s="19"/>
      <c r="G409" s="19"/>
      <c r="P409" s="19"/>
      <c r="R409" s="19"/>
    </row>
    <row r="410" spans="2:18">
      <c r="B410" s="19"/>
      <c r="G410" s="19"/>
      <c r="P410" s="19"/>
      <c r="R410" s="19"/>
    </row>
    <row r="411" spans="2:18">
      <c r="B411" s="19"/>
      <c r="G411" s="19"/>
      <c r="P411" s="19"/>
      <c r="R411" s="19"/>
    </row>
    <row r="412" spans="2:18">
      <c r="B412" s="19"/>
      <c r="G412" s="19"/>
      <c r="P412" s="19"/>
      <c r="R412" s="19"/>
    </row>
    <row r="413" spans="2:18">
      <c r="B413" s="19"/>
      <c r="G413" s="19"/>
      <c r="P413" s="19"/>
      <c r="R413" s="19"/>
    </row>
    <row r="414" spans="2:18">
      <c r="B414" s="19"/>
      <c r="G414" s="19"/>
      <c r="P414" s="19"/>
      <c r="R414" s="19"/>
    </row>
    <row r="415" spans="2:18">
      <c r="B415" s="19"/>
      <c r="G415" s="19"/>
      <c r="P415" s="19"/>
      <c r="R415" s="19"/>
    </row>
    <row r="416" spans="2:18">
      <c r="B416" s="19"/>
      <c r="G416" s="19"/>
      <c r="P416" s="19"/>
      <c r="R416" s="19"/>
    </row>
    <row r="417" spans="2:18">
      <c r="B417" s="19"/>
      <c r="G417" s="19"/>
      <c r="P417" s="19"/>
      <c r="R417" s="19"/>
    </row>
    <row r="418" spans="2:18">
      <c r="B418" s="19"/>
      <c r="G418" s="19"/>
      <c r="P418" s="19"/>
      <c r="R418" s="19"/>
    </row>
    <row r="419" spans="2:18">
      <c r="B419" s="19"/>
      <c r="G419" s="19"/>
      <c r="P419" s="19"/>
      <c r="R419" s="19"/>
    </row>
    <row r="420" spans="2:18">
      <c r="B420" s="19"/>
      <c r="G420" s="19"/>
      <c r="P420" s="19"/>
      <c r="R420" s="19"/>
    </row>
    <row r="421" spans="2:18">
      <c r="B421" s="19"/>
      <c r="G421" s="19"/>
      <c r="P421" s="19"/>
      <c r="R421" s="19"/>
    </row>
    <row r="422" spans="2:18">
      <c r="B422" s="19"/>
      <c r="G422" s="19"/>
      <c r="P422" s="19"/>
      <c r="R422" s="19"/>
    </row>
    <row r="423" spans="2:18">
      <c r="B423" s="19"/>
      <c r="G423" s="19"/>
      <c r="P423" s="19"/>
      <c r="R423" s="19"/>
    </row>
    <row r="424" spans="2:18">
      <c r="B424" s="19"/>
      <c r="G424" s="19"/>
      <c r="P424" s="19"/>
      <c r="R424" s="19"/>
    </row>
    <row r="425" spans="2:18">
      <c r="B425" s="19"/>
      <c r="G425" s="19"/>
      <c r="P425" s="19"/>
      <c r="R425" s="19"/>
    </row>
    <row r="426" spans="2:18">
      <c r="B426" s="19"/>
      <c r="G426" s="19"/>
      <c r="P426" s="19"/>
      <c r="R426" s="19"/>
    </row>
    <row r="427" spans="2:18">
      <c r="B427" s="19"/>
      <c r="G427" s="19"/>
      <c r="P427" s="19"/>
      <c r="R427" s="19"/>
    </row>
    <row r="428" spans="2:18">
      <c r="B428" s="19"/>
      <c r="G428" s="19"/>
      <c r="P428" s="19"/>
      <c r="R428" s="19"/>
    </row>
    <row r="429" spans="2:18">
      <c r="B429" s="19"/>
      <c r="G429" s="19"/>
      <c r="P429" s="19"/>
      <c r="R429" s="19"/>
    </row>
    <row r="430" spans="2:18">
      <c r="B430" s="19"/>
      <c r="G430" s="19"/>
      <c r="P430" s="19"/>
      <c r="R430" s="19"/>
    </row>
    <row r="431" spans="2:18">
      <c r="B431" s="19"/>
      <c r="G431" s="19"/>
      <c r="P431" s="19"/>
      <c r="R431" s="19"/>
    </row>
    <row r="432" spans="2:18">
      <c r="B432" s="19"/>
      <c r="G432" s="19"/>
      <c r="P432" s="19"/>
      <c r="R432" s="19"/>
    </row>
    <row r="433" spans="2:18">
      <c r="B433" s="19"/>
      <c r="G433" s="19"/>
      <c r="P433" s="19"/>
      <c r="R433" s="19"/>
    </row>
    <row r="434" spans="2:18">
      <c r="B434" s="19"/>
      <c r="G434" s="19"/>
      <c r="P434" s="19"/>
      <c r="R434" s="19"/>
    </row>
    <row r="435" spans="2:18">
      <c r="B435" s="19"/>
      <c r="G435" s="19"/>
      <c r="P435" s="19"/>
      <c r="R435" s="19"/>
    </row>
    <row r="436" spans="2:18">
      <c r="B436" s="19"/>
      <c r="G436" s="19"/>
      <c r="P436" s="19"/>
      <c r="R436" s="19"/>
    </row>
    <row r="437" spans="2:18">
      <c r="B437" s="19"/>
      <c r="G437" s="19"/>
      <c r="P437" s="19"/>
      <c r="R437" s="19"/>
    </row>
    <row r="438" spans="2:18">
      <c r="B438" s="19"/>
      <c r="G438" s="19"/>
      <c r="P438" s="19"/>
      <c r="R438" s="19"/>
    </row>
    <row r="439" spans="2:18">
      <c r="B439" s="19"/>
      <c r="G439" s="19"/>
      <c r="P439" s="19"/>
      <c r="R439" s="19"/>
    </row>
    <row r="440" spans="2:18">
      <c r="B440" s="19"/>
      <c r="G440" s="19"/>
      <c r="P440" s="19"/>
      <c r="R440" s="19"/>
    </row>
    <row r="441" spans="2:18">
      <c r="B441" s="19"/>
      <c r="G441" s="19"/>
      <c r="P441" s="19"/>
      <c r="R441" s="19"/>
    </row>
    <row r="442" spans="2:18">
      <c r="B442" s="19"/>
      <c r="G442" s="19"/>
      <c r="P442" s="19"/>
      <c r="R442" s="19"/>
    </row>
    <row r="443" spans="2:18">
      <c r="B443" s="19"/>
      <c r="G443" s="19"/>
      <c r="P443" s="19"/>
      <c r="R443" s="19"/>
    </row>
    <row r="444" spans="2:18">
      <c r="B444" s="19"/>
      <c r="G444" s="19"/>
      <c r="P444" s="19"/>
      <c r="R444" s="19"/>
    </row>
    <row r="445" spans="2:18">
      <c r="B445" s="19"/>
      <c r="G445" s="19"/>
      <c r="P445" s="19"/>
      <c r="R445" s="19"/>
    </row>
    <row r="446" spans="2:18">
      <c r="B446" s="19"/>
      <c r="G446" s="19"/>
      <c r="P446" s="19"/>
      <c r="R446" s="19"/>
    </row>
    <row r="447" spans="2:18">
      <c r="B447" s="19"/>
      <c r="G447" s="19"/>
      <c r="P447" s="19"/>
      <c r="R447" s="19"/>
    </row>
    <row r="448" spans="2:18">
      <c r="B448" s="19"/>
      <c r="G448" s="19"/>
      <c r="P448" s="19"/>
      <c r="R448" s="19"/>
    </row>
    <row r="449" spans="2:18">
      <c r="B449" s="19"/>
      <c r="G449" s="19"/>
      <c r="P449" s="19"/>
      <c r="R449" s="19"/>
    </row>
    <row r="450" spans="2:18">
      <c r="B450" s="19"/>
      <c r="G450" s="19"/>
      <c r="P450" s="19"/>
      <c r="R450" s="19"/>
    </row>
    <row r="451" spans="2:18">
      <c r="B451" s="19"/>
      <c r="G451" s="19"/>
      <c r="P451" s="19"/>
      <c r="R451" s="19"/>
    </row>
    <row r="452" spans="2:18">
      <c r="B452" s="19"/>
      <c r="G452" s="19"/>
      <c r="P452" s="19"/>
      <c r="R452" s="19"/>
    </row>
    <row r="453" spans="2:18">
      <c r="B453" s="19"/>
      <c r="G453" s="19"/>
      <c r="P453" s="19"/>
      <c r="R453" s="19"/>
    </row>
    <row r="454" spans="2:18">
      <c r="B454" s="19"/>
      <c r="G454" s="19"/>
      <c r="P454" s="19"/>
      <c r="R454" s="19"/>
    </row>
    <row r="455" spans="2:18">
      <c r="B455" s="19"/>
      <c r="G455" s="19"/>
      <c r="P455" s="19"/>
      <c r="R455" s="19"/>
    </row>
    <row r="456" spans="2:18">
      <c r="B456" s="19"/>
      <c r="G456" s="19"/>
      <c r="P456" s="19"/>
      <c r="R456" s="19"/>
    </row>
    <row r="457" spans="2:18">
      <c r="B457" s="19"/>
      <c r="G457" s="19"/>
      <c r="P457" s="19"/>
      <c r="R457" s="19"/>
    </row>
    <row r="458" spans="2:18">
      <c r="B458" s="19"/>
      <c r="G458" s="19"/>
      <c r="P458" s="19"/>
      <c r="R458" s="19"/>
    </row>
    <row r="459" spans="2:18">
      <c r="B459" s="19"/>
      <c r="G459" s="19"/>
      <c r="P459" s="19"/>
      <c r="R459" s="19"/>
    </row>
    <row r="460" spans="2:18">
      <c r="B460" s="19"/>
      <c r="G460" s="19"/>
      <c r="P460" s="19"/>
      <c r="R460" s="19"/>
    </row>
    <row r="461" spans="2:18">
      <c r="B461" s="19"/>
      <c r="G461" s="19"/>
      <c r="P461" s="19"/>
      <c r="R461" s="19"/>
    </row>
    <row r="462" spans="2:18">
      <c r="B462" s="19"/>
      <c r="G462" s="19"/>
      <c r="P462" s="19"/>
      <c r="R462" s="19"/>
    </row>
    <row r="463" spans="2:18">
      <c r="B463" s="19"/>
      <c r="G463" s="19"/>
      <c r="P463" s="19"/>
      <c r="R463" s="19"/>
    </row>
    <row r="464" spans="2:18">
      <c r="B464" s="19"/>
      <c r="G464" s="19"/>
      <c r="P464" s="19"/>
      <c r="R464" s="19"/>
    </row>
    <row r="465" spans="2:18">
      <c r="B465" s="19"/>
      <c r="G465" s="19"/>
      <c r="P465" s="19"/>
      <c r="R465" s="19"/>
    </row>
    <row r="466" spans="2:18">
      <c r="B466" s="19"/>
      <c r="G466" s="19"/>
      <c r="P466" s="19"/>
      <c r="R466" s="19"/>
    </row>
    <row r="467" spans="2:18">
      <c r="B467" s="19"/>
      <c r="G467" s="19"/>
      <c r="P467" s="19"/>
      <c r="R467" s="19"/>
    </row>
    <row r="468" spans="2:18">
      <c r="B468" s="19"/>
      <c r="G468" s="19"/>
      <c r="P468" s="19"/>
      <c r="R468" s="19"/>
    </row>
    <row r="469" spans="2:18">
      <c r="B469" s="19"/>
      <c r="G469" s="19"/>
      <c r="P469" s="19"/>
      <c r="R469" s="19"/>
    </row>
    <row r="470" spans="2:18">
      <c r="B470" s="19"/>
      <c r="G470" s="19"/>
      <c r="P470" s="19"/>
      <c r="R470" s="19"/>
    </row>
    <row r="471" spans="2:18">
      <c r="B471" s="19"/>
      <c r="G471" s="19"/>
      <c r="P471" s="19"/>
      <c r="R471" s="19"/>
    </row>
    <row r="472" spans="2:18">
      <c r="B472" s="19"/>
      <c r="G472" s="19"/>
      <c r="P472" s="19"/>
      <c r="R472" s="19"/>
    </row>
    <row r="473" spans="2:18">
      <c r="B473" s="19"/>
      <c r="G473" s="19"/>
      <c r="P473" s="19"/>
      <c r="R473" s="19"/>
    </row>
    <row r="474" spans="2:18">
      <c r="B474" s="19"/>
      <c r="G474" s="19"/>
      <c r="P474" s="19"/>
      <c r="R474" s="19"/>
    </row>
    <row r="475" spans="2:18">
      <c r="B475" s="19"/>
      <c r="G475" s="19"/>
      <c r="P475" s="19"/>
      <c r="R475" s="19"/>
    </row>
    <row r="476" spans="2:18">
      <c r="B476" s="19"/>
      <c r="G476" s="19"/>
      <c r="P476" s="19"/>
      <c r="R476" s="19"/>
    </row>
    <row r="477" spans="2:18">
      <c r="B477" s="19"/>
      <c r="G477" s="19"/>
      <c r="P477" s="19"/>
      <c r="R477" s="19"/>
    </row>
    <row r="478" spans="2:18">
      <c r="B478" s="19"/>
      <c r="G478" s="19"/>
      <c r="P478" s="19"/>
      <c r="R478" s="19"/>
    </row>
    <row r="479" spans="2:18">
      <c r="B479" s="19"/>
      <c r="G479" s="19"/>
      <c r="P479" s="19"/>
      <c r="R479" s="19"/>
    </row>
    <row r="480" spans="2:18">
      <c r="B480" s="19"/>
      <c r="G480" s="19"/>
      <c r="P480" s="19"/>
      <c r="R480" s="19"/>
    </row>
    <row r="481" spans="2:18">
      <c r="B481" s="19"/>
      <c r="G481" s="19"/>
      <c r="P481" s="19"/>
      <c r="R481" s="19"/>
    </row>
    <row r="482" spans="2:18">
      <c r="B482" s="19"/>
      <c r="G482" s="19"/>
      <c r="P482" s="19"/>
      <c r="R482" s="19"/>
    </row>
    <row r="483" spans="2:18">
      <c r="B483" s="19"/>
      <c r="G483" s="19"/>
      <c r="P483" s="19"/>
      <c r="R483" s="19"/>
    </row>
    <row r="484" spans="2:18">
      <c r="B484" s="19"/>
      <c r="G484" s="19"/>
      <c r="P484" s="19"/>
      <c r="R484" s="19"/>
    </row>
    <row r="485" spans="2:18">
      <c r="B485" s="19"/>
      <c r="G485" s="19"/>
      <c r="P485" s="19"/>
      <c r="R485" s="19"/>
    </row>
    <row r="486" spans="2:18">
      <c r="B486" s="19"/>
      <c r="G486" s="19"/>
      <c r="P486" s="19"/>
      <c r="R486" s="19"/>
    </row>
    <row r="487" spans="2:18">
      <c r="B487" s="19"/>
      <c r="G487" s="19"/>
      <c r="P487" s="19"/>
      <c r="R487" s="19"/>
    </row>
    <row r="488" spans="2:18">
      <c r="B488" s="19"/>
      <c r="G488" s="19"/>
      <c r="P488" s="19"/>
      <c r="R488" s="19"/>
    </row>
    <row r="489" spans="2:18">
      <c r="B489" s="19"/>
      <c r="G489" s="19"/>
      <c r="P489" s="19"/>
      <c r="R489" s="19"/>
    </row>
    <row r="490" spans="2:18">
      <c r="B490" s="19"/>
      <c r="G490" s="19"/>
      <c r="P490" s="19"/>
      <c r="R490" s="19"/>
    </row>
    <row r="491" spans="2:18">
      <c r="B491" s="19"/>
      <c r="G491" s="19"/>
      <c r="P491" s="19"/>
      <c r="R491" s="19"/>
    </row>
    <row r="492" spans="2:18">
      <c r="B492" s="19"/>
      <c r="G492" s="19"/>
      <c r="P492" s="19"/>
      <c r="R492" s="19"/>
    </row>
    <row r="493" spans="2:18">
      <c r="B493" s="19"/>
      <c r="G493" s="19"/>
      <c r="P493" s="19"/>
      <c r="R493" s="19"/>
    </row>
    <row r="494" spans="2:18">
      <c r="B494" s="19"/>
      <c r="G494" s="19"/>
      <c r="P494" s="19"/>
      <c r="R494" s="19"/>
    </row>
    <row r="495" spans="2:18">
      <c r="B495" s="19"/>
      <c r="G495" s="19"/>
      <c r="P495" s="19"/>
      <c r="R495" s="19"/>
    </row>
    <row r="496" spans="2:18">
      <c r="B496" s="19"/>
      <c r="G496" s="19"/>
      <c r="P496" s="19"/>
      <c r="R496" s="19"/>
    </row>
    <row r="497" spans="2:18">
      <c r="B497" s="19"/>
      <c r="G497" s="19"/>
      <c r="P497" s="19"/>
      <c r="R497" s="19"/>
    </row>
    <row r="498" spans="2:18">
      <c r="B498" s="19"/>
      <c r="G498" s="19"/>
      <c r="P498" s="19"/>
      <c r="R498" s="19"/>
    </row>
    <row r="499" spans="2:18">
      <c r="B499" s="19"/>
      <c r="G499" s="19"/>
      <c r="P499" s="19"/>
      <c r="R499" s="19"/>
    </row>
    <row r="500" spans="2:18">
      <c r="B500" s="19"/>
      <c r="G500" s="19"/>
      <c r="P500" s="19"/>
      <c r="R500" s="19"/>
    </row>
    <row r="501" spans="2:18">
      <c r="B501" s="19"/>
      <c r="G501" s="19"/>
      <c r="P501" s="19"/>
      <c r="R501" s="19"/>
    </row>
    <row r="502" spans="2:18">
      <c r="B502" s="19"/>
      <c r="G502" s="19"/>
      <c r="P502" s="19"/>
      <c r="R502" s="19"/>
    </row>
    <row r="503" spans="2:18">
      <c r="B503" s="19"/>
      <c r="G503" s="19"/>
      <c r="P503" s="19"/>
      <c r="R503" s="19"/>
    </row>
    <row r="504" spans="2:18">
      <c r="B504" s="19"/>
      <c r="G504" s="19"/>
      <c r="P504" s="19"/>
      <c r="R504" s="19"/>
    </row>
    <row r="505" spans="2:18">
      <c r="B505" s="19"/>
      <c r="G505" s="19"/>
      <c r="P505" s="19"/>
      <c r="R505" s="19"/>
    </row>
    <row r="506" spans="2:18">
      <c r="B506" s="19"/>
      <c r="G506" s="19"/>
      <c r="P506" s="19"/>
      <c r="R506" s="19"/>
    </row>
    <row r="507" spans="2:18">
      <c r="B507" s="19"/>
      <c r="G507" s="19"/>
      <c r="P507" s="19"/>
      <c r="R507" s="19"/>
    </row>
    <row r="508" spans="2:18">
      <c r="B508" s="19"/>
      <c r="G508" s="19"/>
      <c r="P508" s="19"/>
      <c r="R508" s="19"/>
    </row>
    <row r="509" spans="2:18">
      <c r="B509" s="19"/>
      <c r="G509" s="19"/>
      <c r="P509" s="19"/>
      <c r="R509" s="19"/>
    </row>
    <row r="510" spans="2:18">
      <c r="B510" s="19"/>
      <c r="G510" s="19"/>
      <c r="P510" s="19"/>
      <c r="R510" s="19"/>
    </row>
    <row r="511" spans="2:18">
      <c r="B511" s="19"/>
      <c r="G511" s="19"/>
      <c r="P511" s="19"/>
      <c r="R511" s="19"/>
    </row>
    <row r="512" spans="2:18">
      <c r="B512" s="19"/>
      <c r="G512" s="19"/>
      <c r="P512" s="19"/>
      <c r="R512" s="19"/>
    </row>
    <row r="513" spans="2:18">
      <c r="B513" s="19"/>
      <c r="G513" s="19"/>
      <c r="P513" s="19"/>
      <c r="R513" s="19"/>
    </row>
    <row r="514" spans="2:18">
      <c r="B514" s="19"/>
      <c r="G514" s="19"/>
      <c r="P514" s="19"/>
      <c r="R514" s="19"/>
    </row>
    <row r="515" spans="2:18">
      <c r="B515" s="19"/>
      <c r="G515" s="19"/>
      <c r="P515" s="19"/>
      <c r="R515" s="19"/>
    </row>
    <row r="516" spans="2:18">
      <c r="B516" s="19"/>
      <c r="G516" s="19"/>
      <c r="P516" s="19"/>
      <c r="R516" s="19"/>
    </row>
    <row r="517" spans="2:18">
      <c r="B517" s="19"/>
      <c r="G517" s="19"/>
      <c r="P517" s="19"/>
      <c r="R517" s="19"/>
    </row>
    <row r="518" spans="2:18">
      <c r="B518" s="19"/>
      <c r="G518" s="19"/>
      <c r="P518" s="19"/>
      <c r="R518" s="19"/>
    </row>
    <row r="519" spans="2:18">
      <c r="B519" s="19"/>
      <c r="G519" s="19"/>
      <c r="P519" s="19"/>
      <c r="R519" s="19"/>
    </row>
    <row r="520" spans="2:18">
      <c r="B520" s="19"/>
      <c r="G520" s="19"/>
      <c r="P520" s="19"/>
      <c r="R520" s="19"/>
    </row>
    <row r="521" spans="2:18">
      <c r="B521" s="19"/>
      <c r="G521" s="19"/>
      <c r="P521" s="19"/>
      <c r="R521" s="19"/>
    </row>
    <row r="522" spans="2:18">
      <c r="B522" s="19"/>
      <c r="G522" s="19"/>
      <c r="P522" s="19"/>
      <c r="R522" s="19"/>
    </row>
    <row r="523" spans="2:18">
      <c r="B523" s="19"/>
      <c r="G523" s="19"/>
      <c r="P523" s="19"/>
      <c r="R523" s="19"/>
    </row>
    <row r="524" spans="2:18">
      <c r="B524" s="19"/>
      <c r="G524" s="19"/>
      <c r="P524" s="19"/>
      <c r="R524" s="19"/>
    </row>
    <row r="525" spans="2:18">
      <c r="B525" s="19"/>
      <c r="G525" s="19"/>
      <c r="P525" s="19"/>
      <c r="R525" s="19"/>
    </row>
    <row r="526" spans="2:18">
      <c r="B526" s="19"/>
      <c r="G526" s="19"/>
      <c r="P526" s="19"/>
      <c r="R526" s="19"/>
    </row>
    <row r="527" spans="2:18">
      <c r="B527" s="19"/>
      <c r="G527" s="19"/>
      <c r="P527" s="19"/>
      <c r="R527" s="19"/>
    </row>
    <row r="528" spans="2:18">
      <c r="B528" s="19"/>
      <c r="G528" s="19"/>
      <c r="P528" s="19"/>
      <c r="R528" s="19"/>
    </row>
    <row r="529" spans="2:18">
      <c r="B529" s="19"/>
      <c r="G529" s="19"/>
      <c r="P529" s="19"/>
      <c r="R529" s="19"/>
    </row>
    <row r="530" spans="2:18">
      <c r="B530" s="19"/>
      <c r="G530" s="19"/>
      <c r="P530" s="19"/>
      <c r="R530" s="19"/>
    </row>
    <row r="531" spans="2:18">
      <c r="B531" s="19"/>
      <c r="G531" s="19"/>
      <c r="P531" s="19"/>
      <c r="R531" s="19"/>
    </row>
    <row r="532" spans="2:18">
      <c r="B532" s="19"/>
      <c r="G532" s="19"/>
      <c r="P532" s="19"/>
      <c r="R532" s="19"/>
    </row>
    <row r="533" spans="2:18">
      <c r="B533" s="19"/>
      <c r="G533" s="19"/>
      <c r="P533" s="19"/>
      <c r="R533" s="19"/>
    </row>
    <row r="534" spans="2:18">
      <c r="B534" s="19"/>
      <c r="G534" s="19"/>
      <c r="P534" s="19"/>
      <c r="R534" s="19"/>
    </row>
    <row r="535" spans="2:18">
      <c r="B535" s="19"/>
      <c r="G535" s="19"/>
      <c r="P535" s="19"/>
      <c r="R535" s="19"/>
    </row>
    <row r="536" spans="2:18">
      <c r="B536" s="19"/>
      <c r="G536" s="19"/>
      <c r="P536" s="19"/>
      <c r="R536" s="19"/>
    </row>
    <row r="537" spans="2:18">
      <c r="B537" s="19"/>
      <c r="G537" s="19"/>
      <c r="P537" s="19"/>
      <c r="R537" s="19"/>
    </row>
    <row r="538" spans="2:18">
      <c r="B538" s="19"/>
      <c r="G538" s="19"/>
      <c r="P538" s="19"/>
      <c r="R538" s="19"/>
    </row>
    <row r="539" spans="2:18">
      <c r="B539" s="19"/>
      <c r="G539" s="19"/>
      <c r="P539" s="19"/>
      <c r="R539" s="19"/>
    </row>
    <row r="540" spans="2:18">
      <c r="B540" s="19"/>
      <c r="G540" s="19"/>
      <c r="P540" s="19"/>
      <c r="R540" s="19"/>
    </row>
    <row r="541" spans="2:18">
      <c r="B541" s="19"/>
      <c r="G541" s="19"/>
      <c r="P541" s="19"/>
      <c r="R541" s="19"/>
    </row>
    <row r="542" spans="2:18">
      <c r="B542" s="19"/>
      <c r="G542" s="19"/>
      <c r="P542" s="19"/>
      <c r="R542" s="19"/>
    </row>
    <row r="543" spans="2:18">
      <c r="B543" s="19"/>
      <c r="G543" s="19"/>
      <c r="P543" s="19"/>
      <c r="R543" s="19"/>
    </row>
    <row r="544" spans="2:18">
      <c r="B544" s="19"/>
      <c r="G544" s="19"/>
      <c r="P544" s="19"/>
      <c r="R544" s="19"/>
    </row>
    <row r="545" spans="2:18">
      <c r="B545" s="19"/>
      <c r="G545" s="19"/>
      <c r="P545" s="19"/>
      <c r="R545" s="19"/>
    </row>
    <row r="546" spans="2:18">
      <c r="B546" s="19"/>
      <c r="G546" s="19"/>
      <c r="P546" s="19"/>
      <c r="R546" s="19"/>
    </row>
    <row r="547" spans="2:18">
      <c r="B547" s="19"/>
      <c r="G547" s="19"/>
      <c r="P547" s="19"/>
      <c r="R547" s="19"/>
    </row>
    <row r="548" spans="2:18">
      <c r="B548" s="19"/>
      <c r="G548" s="19"/>
      <c r="P548" s="19"/>
      <c r="R548" s="19"/>
    </row>
    <row r="549" spans="2:18">
      <c r="B549" s="19"/>
      <c r="G549" s="19"/>
      <c r="P549" s="19"/>
      <c r="R549" s="19"/>
    </row>
    <row r="550" spans="2:18">
      <c r="B550" s="19"/>
      <c r="G550" s="19"/>
      <c r="P550" s="19"/>
      <c r="R550" s="19"/>
    </row>
    <row r="551" spans="2:18">
      <c r="B551" s="19"/>
      <c r="G551" s="19"/>
      <c r="P551" s="19"/>
      <c r="R551" s="19"/>
    </row>
    <row r="552" spans="2:18">
      <c r="B552" s="19"/>
      <c r="G552" s="19"/>
      <c r="P552" s="19"/>
      <c r="R552" s="19"/>
    </row>
    <row r="553" spans="2:18">
      <c r="B553" s="19"/>
      <c r="G553" s="19"/>
      <c r="P553" s="19"/>
      <c r="R553" s="19"/>
    </row>
    <row r="554" spans="2:18">
      <c r="B554" s="19"/>
      <c r="G554" s="19"/>
      <c r="P554" s="19"/>
      <c r="R554" s="19"/>
    </row>
    <row r="555" spans="2:18">
      <c r="B555" s="19"/>
      <c r="G555" s="19"/>
      <c r="P555" s="19"/>
      <c r="R555" s="19"/>
    </row>
    <row r="556" spans="2:18">
      <c r="B556" s="19"/>
      <c r="G556" s="19"/>
      <c r="P556" s="19"/>
      <c r="R556" s="19"/>
    </row>
    <row r="557" spans="2:18">
      <c r="B557" s="19"/>
      <c r="G557" s="19"/>
      <c r="P557" s="19"/>
      <c r="R557" s="19"/>
    </row>
    <row r="558" spans="2:18">
      <c r="B558" s="19"/>
      <c r="G558" s="19"/>
      <c r="P558" s="19"/>
      <c r="R558" s="19"/>
    </row>
    <row r="559" spans="2:18">
      <c r="B559" s="19"/>
      <c r="G559" s="19"/>
      <c r="P559" s="19"/>
      <c r="R559" s="19"/>
    </row>
    <row r="560" spans="2:18">
      <c r="B560" s="19"/>
      <c r="G560" s="19"/>
      <c r="P560" s="19"/>
      <c r="R560" s="19"/>
    </row>
    <row r="561" spans="2:18">
      <c r="B561" s="19"/>
      <c r="G561" s="19"/>
      <c r="P561" s="19"/>
      <c r="R561" s="19"/>
    </row>
    <row r="562" spans="2:18">
      <c r="B562" s="19"/>
      <c r="G562" s="19"/>
      <c r="P562" s="19"/>
      <c r="R562" s="19"/>
    </row>
    <row r="563" spans="2:18">
      <c r="B563" s="19"/>
      <c r="G563" s="19"/>
      <c r="P563" s="19"/>
      <c r="R563" s="19"/>
    </row>
    <row r="564" spans="2:18">
      <c r="B564" s="19"/>
      <c r="G564" s="19"/>
      <c r="P564" s="19"/>
      <c r="R564" s="19"/>
    </row>
    <row r="565" spans="2:18">
      <c r="B565" s="19"/>
      <c r="G565" s="19"/>
      <c r="P565" s="19"/>
      <c r="R565" s="19"/>
    </row>
    <row r="566" spans="2:18">
      <c r="B566" s="19"/>
      <c r="G566" s="19"/>
      <c r="P566" s="19"/>
      <c r="R566" s="19"/>
    </row>
    <row r="567" spans="2:18">
      <c r="B567" s="19"/>
      <c r="G567" s="19"/>
      <c r="P567" s="19"/>
      <c r="R567" s="19"/>
    </row>
    <row r="568" spans="2:18">
      <c r="B568" s="19"/>
      <c r="G568" s="19"/>
      <c r="P568" s="19"/>
      <c r="R568" s="19"/>
    </row>
    <row r="569" spans="2:18">
      <c r="B569" s="19"/>
      <c r="G569" s="19"/>
      <c r="P569" s="19"/>
      <c r="R569" s="19"/>
    </row>
    <row r="570" spans="2:18">
      <c r="B570" s="19"/>
      <c r="G570" s="19"/>
      <c r="P570" s="19"/>
      <c r="R570" s="19"/>
    </row>
    <row r="571" spans="2:18">
      <c r="B571" s="19"/>
      <c r="G571" s="19"/>
      <c r="P571" s="19"/>
      <c r="R571" s="19"/>
    </row>
    <row r="572" spans="2:18">
      <c r="B572" s="19"/>
      <c r="G572" s="19"/>
      <c r="P572" s="19"/>
      <c r="R572" s="19"/>
    </row>
    <row r="573" spans="2:18">
      <c r="B573" s="19"/>
      <c r="G573" s="19"/>
      <c r="P573" s="19"/>
      <c r="R573" s="19"/>
    </row>
    <row r="574" spans="2:18">
      <c r="B574" s="19"/>
      <c r="G574" s="19"/>
      <c r="P574" s="19"/>
      <c r="R574" s="19"/>
    </row>
    <row r="575" spans="2:18">
      <c r="B575" s="19"/>
      <c r="G575" s="19"/>
      <c r="P575" s="19"/>
      <c r="R575" s="19"/>
    </row>
    <row r="576" spans="2:18">
      <c r="B576" s="19"/>
      <c r="G576" s="19"/>
      <c r="P576" s="19"/>
      <c r="R576" s="19"/>
    </row>
    <row r="577" spans="2:18">
      <c r="B577" s="19"/>
      <c r="G577" s="19"/>
      <c r="P577" s="19"/>
      <c r="R577" s="19"/>
    </row>
    <row r="578" spans="2:18">
      <c r="B578" s="19"/>
      <c r="G578" s="19"/>
      <c r="P578" s="19"/>
      <c r="R578" s="19"/>
    </row>
    <row r="579" spans="2:18">
      <c r="B579" s="19"/>
      <c r="G579" s="19"/>
      <c r="P579" s="19"/>
      <c r="R579" s="19"/>
    </row>
    <row r="580" spans="2:18">
      <c r="B580" s="19"/>
      <c r="G580" s="19"/>
      <c r="P580" s="19"/>
      <c r="R580" s="19"/>
    </row>
    <row r="581" spans="2:18">
      <c r="B581" s="19"/>
      <c r="G581" s="19"/>
      <c r="P581" s="19"/>
      <c r="R581" s="19"/>
    </row>
    <row r="582" spans="2:18">
      <c r="B582" s="19"/>
      <c r="G582" s="19"/>
      <c r="P582" s="19"/>
      <c r="R582" s="19"/>
    </row>
    <row r="583" spans="2:18">
      <c r="B583" s="19"/>
      <c r="G583" s="19"/>
      <c r="P583" s="19"/>
      <c r="R583" s="19"/>
    </row>
    <row r="584" spans="2:18">
      <c r="B584" s="19"/>
      <c r="G584" s="19"/>
      <c r="P584" s="19"/>
      <c r="R584" s="19"/>
    </row>
    <row r="585" spans="2:18">
      <c r="B585" s="19"/>
      <c r="G585" s="19"/>
      <c r="P585" s="19"/>
      <c r="R585" s="19"/>
    </row>
    <row r="586" spans="2:18">
      <c r="B586" s="19"/>
      <c r="G586" s="19"/>
      <c r="P586" s="19"/>
      <c r="R586" s="19"/>
    </row>
    <row r="587" spans="2:18">
      <c r="B587" s="19"/>
      <c r="G587" s="19"/>
      <c r="P587" s="19"/>
      <c r="R587" s="19"/>
    </row>
    <row r="588" spans="2:18">
      <c r="B588" s="19"/>
      <c r="G588" s="19"/>
      <c r="P588" s="19"/>
      <c r="R588" s="19"/>
    </row>
    <row r="589" spans="2:18">
      <c r="B589" s="19"/>
      <c r="G589" s="19"/>
      <c r="P589" s="19"/>
      <c r="R589" s="19"/>
    </row>
    <row r="590" spans="2:18">
      <c r="B590" s="19"/>
      <c r="G590" s="19"/>
      <c r="P590" s="19"/>
      <c r="R590" s="19"/>
    </row>
    <row r="591" spans="2:18">
      <c r="B591" s="19"/>
      <c r="G591" s="19"/>
      <c r="P591" s="19"/>
      <c r="R591" s="19"/>
    </row>
    <row r="592" spans="2:18">
      <c r="B592" s="19"/>
      <c r="G592" s="19"/>
      <c r="P592" s="19"/>
      <c r="R592" s="19"/>
    </row>
    <row r="593" spans="2:18">
      <c r="B593" s="19"/>
      <c r="G593" s="19"/>
      <c r="P593" s="19"/>
      <c r="R593" s="19"/>
    </row>
    <row r="594" spans="2:18">
      <c r="B594" s="19"/>
      <c r="G594" s="19"/>
      <c r="P594" s="19"/>
      <c r="R594" s="19"/>
    </row>
    <row r="595" spans="2:18">
      <c r="B595" s="19"/>
      <c r="G595" s="19"/>
      <c r="P595" s="19"/>
      <c r="R595" s="19"/>
    </row>
    <row r="596" spans="2:18">
      <c r="B596" s="19"/>
      <c r="G596" s="19"/>
      <c r="P596" s="19"/>
      <c r="R596" s="19"/>
    </row>
    <row r="597" spans="2:18">
      <c r="B597" s="19"/>
      <c r="G597" s="19"/>
      <c r="P597" s="19"/>
      <c r="R597" s="19"/>
    </row>
    <row r="598" spans="2:18">
      <c r="B598" s="19"/>
      <c r="G598" s="19"/>
      <c r="P598" s="19"/>
      <c r="R598" s="19"/>
    </row>
    <row r="599" spans="2:18">
      <c r="B599" s="19"/>
      <c r="G599" s="19"/>
      <c r="P599" s="19"/>
      <c r="R599" s="19"/>
    </row>
    <row r="600" spans="2:18">
      <c r="B600" s="19"/>
      <c r="G600" s="19"/>
      <c r="P600" s="19"/>
      <c r="R600" s="19"/>
    </row>
    <row r="601" spans="2:18">
      <c r="B601" s="19"/>
      <c r="G601" s="19"/>
      <c r="P601" s="19"/>
      <c r="R601" s="19"/>
    </row>
    <row r="602" spans="2:18">
      <c r="B602" s="19"/>
      <c r="G602" s="19"/>
      <c r="P602" s="19"/>
      <c r="R602" s="19"/>
    </row>
    <row r="603" spans="2:18">
      <c r="B603" s="19"/>
      <c r="G603" s="19"/>
      <c r="P603" s="19"/>
      <c r="R603" s="19"/>
    </row>
    <row r="604" spans="2:18">
      <c r="B604" s="19"/>
      <c r="G604" s="19"/>
      <c r="P604" s="19"/>
      <c r="R604" s="19"/>
    </row>
    <row r="605" spans="2:18">
      <c r="B605" s="19"/>
      <c r="G605" s="19"/>
      <c r="P605" s="19"/>
      <c r="R605" s="19"/>
    </row>
    <row r="606" spans="2:18">
      <c r="B606" s="19"/>
      <c r="G606" s="19"/>
      <c r="P606" s="19"/>
      <c r="R606" s="19"/>
    </row>
    <row r="607" spans="2:18">
      <c r="B607" s="19"/>
      <c r="G607" s="19"/>
      <c r="P607" s="19"/>
      <c r="R607" s="19"/>
    </row>
    <row r="608" spans="2:18">
      <c r="B608" s="19"/>
      <c r="G608" s="19"/>
      <c r="P608" s="19"/>
      <c r="R608" s="19"/>
    </row>
    <row r="609" spans="2:18">
      <c r="B609" s="19"/>
      <c r="G609" s="19"/>
      <c r="P609" s="19"/>
      <c r="R609" s="19"/>
    </row>
    <row r="610" spans="2:18">
      <c r="B610" s="19"/>
      <c r="G610" s="19"/>
      <c r="P610" s="19"/>
      <c r="R610" s="19"/>
    </row>
    <row r="611" spans="2:18">
      <c r="B611" s="19"/>
      <c r="G611" s="19"/>
      <c r="P611" s="19"/>
      <c r="R611" s="19"/>
    </row>
    <row r="612" spans="2:18">
      <c r="B612" s="19"/>
      <c r="G612" s="19"/>
      <c r="P612" s="19"/>
      <c r="R612" s="19"/>
    </row>
    <row r="613" spans="2:18">
      <c r="B613" s="19"/>
      <c r="G613" s="19"/>
      <c r="P613" s="19"/>
      <c r="R613" s="19"/>
    </row>
    <row r="614" spans="2:18">
      <c r="B614" s="19"/>
      <c r="G614" s="19"/>
      <c r="P614" s="19"/>
      <c r="R614" s="19"/>
    </row>
    <row r="615" spans="2:18">
      <c r="B615" s="19"/>
      <c r="G615" s="19"/>
      <c r="P615" s="19"/>
      <c r="R615" s="19"/>
    </row>
    <row r="616" spans="2:18">
      <c r="B616" s="19"/>
      <c r="G616" s="19"/>
      <c r="P616" s="19"/>
      <c r="R616" s="19"/>
    </row>
    <row r="617" spans="2:18">
      <c r="B617" s="19"/>
      <c r="G617" s="19"/>
      <c r="P617" s="19"/>
      <c r="R617" s="19"/>
    </row>
    <row r="618" spans="2:18">
      <c r="B618" s="19"/>
      <c r="G618" s="19"/>
      <c r="P618" s="19"/>
      <c r="R618" s="19"/>
    </row>
    <row r="619" spans="2:18">
      <c r="B619" s="19"/>
      <c r="G619" s="19"/>
      <c r="P619" s="19"/>
      <c r="R619" s="19"/>
    </row>
    <row r="620" spans="2:18">
      <c r="B620" s="19"/>
      <c r="G620" s="19"/>
      <c r="P620" s="19"/>
      <c r="R620" s="19"/>
    </row>
    <row r="621" spans="2:18">
      <c r="B621" s="19"/>
      <c r="G621" s="19"/>
      <c r="P621" s="19"/>
      <c r="R621" s="19"/>
    </row>
    <row r="622" spans="2:18">
      <c r="B622" s="19"/>
      <c r="G622" s="19"/>
      <c r="P622" s="19"/>
      <c r="R622" s="19"/>
    </row>
    <row r="623" spans="2:18">
      <c r="B623" s="19"/>
      <c r="G623" s="19"/>
      <c r="P623" s="19"/>
      <c r="R623" s="19"/>
    </row>
    <row r="624" spans="2:18">
      <c r="B624" s="19"/>
      <c r="G624" s="19"/>
      <c r="P624" s="19"/>
      <c r="R624" s="19"/>
    </row>
    <row r="625" spans="2:18">
      <c r="B625" s="19"/>
      <c r="G625" s="19"/>
      <c r="P625" s="19"/>
      <c r="R625" s="19"/>
    </row>
    <row r="626" spans="2:18">
      <c r="B626" s="19"/>
      <c r="G626" s="19"/>
      <c r="P626" s="19"/>
      <c r="R626" s="19"/>
    </row>
    <row r="627" spans="2:18">
      <c r="B627" s="19"/>
      <c r="G627" s="19"/>
      <c r="P627" s="19"/>
      <c r="R627" s="19"/>
    </row>
    <row r="628" spans="2:18">
      <c r="B628" s="19"/>
      <c r="G628" s="19"/>
      <c r="P628" s="19"/>
      <c r="R628" s="19"/>
    </row>
    <row r="629" spans="2:18">
      <c r="B629" s="19"/>
      <c r="G629" s="19"/>
      <c r="P629" s="19"/>
      <c r="R629" s="19"/>
    </row>
    <row r="630" spans="2:18">
      <c r="B630" s="19"/>
      <c r="G630" s="19"/>
      <c r="P630" s="19"/>
      <c r="R630" s="19"/>
    </row>
    <row r="631" spans="2:18">
      <c r="B631" s="19"/>
      <c r="G631" s="19"/>
      <c r="P631" s="19"/>
      <c r="R631" s="19"/>
    </row>
    <row r="632" spans="2:18">
      <c r="B632" s="19"/>
      <c r="G632" s="19"/>
      <c r="P632" s="19"/>
      <c r="R632" s="19"/>
    </row>
    <row r="633" spans="2:18">
      <c r="B633" s="19"/>
      <c r="G633" s="19"/>
      <c r="P633" s="19"/>
      <c r="R633" s="19"/>
    </row>
    <row r="634" spans="2:18">
      <c r="B634" s="19"/>
      <c r="G634" s="19"/>
      <c r="P634" s="19"/>
      <c r="R634" s="19"/>
    </row>
    <row r="635" spans="2:18">
      <c r="B635" s="19"/>
      <c r="G635" s="19"/>
      <c r="P635" s="19"/>
      <c r="R635" s="19"/>
    </row>
    <row r="636" spans="2:18">
      <c r="B636" s="19"/>
      <c r="G636" s="19"/>
      <c r="P636" s="19"/>
      <c r="R636" s="19"/>
    </row>
    <row r="637" spans="2:18">
      <c r="B637" s="19"/>
      <c r="G637" s="19"/>
      <c r="P637" s="19"/>
      <c r="R637" s="19"/>
    </row>
    <row r="638" spans="2:18">
      <c r="B638" s="19"/>
      <c r="G638" s="19"/>
      <c r="P638" s="19"/>
      <c r="R638" s="19"/>
    </row>
    <row r="639" spans="2:18">
      <c r="B639" s="19"/>
      <c r="G639" s="19"/>
      <c r="P639" s="19"/>
      <c r="R639" s="19"/>
    </row>
    <row r="640" spans="2:18">
      <c r="B640" s="19"/>
      <c r="G640" s="19"/>
      <c r="P640" s="19"/>
      <c r="R640" s="19"/>
    </row>
    <row r="641" spans="2:18">
      <c r="B641" s="19"/>
      <c r="G641" s="19"/>
      <c r="P641" s="19"/>
      <c r="R641" s="19"/>
    </row>
    <row r="642" spans="2:18">
      <c r="B642" s="19"/>
      <c r="G642" s="19"/>
      <c r="P642" s="19"/>
      <c r="R642" s="19"/>
    </row>
    <row r="643" spans="2:18">
      <c r="B643" s="19"/>
      <c r="G643" s="19"/>
      <c r="P643" s="19"/>
      <c r="R643" s="19"/>
    </row>
    <row r="644" spans="2:18">
      <c r="B644" s="19"/>
      <c r="G644" s="19"/>
      <c r="P644" s="19"/>
      <c r="R644" s="19"/>
    </row>
    <row r="645" spans="2:18">
      <c r="B645" s="19"/>
      <c r="G645" s="19"/>
      <c r="P645" s="19"/>
      <c r="R645" s="19"/>
    </row>
    <row r="646" spans="2:18">
      <c r="B646" s="19"/>
      <c r="G646" s="19"/>
      <c r="P646" s="19"/>
      <c r="R646" s="19"/>
    </row>
    <row r="647" spans="2:18">
      <c r="B647" s="19"/>
      <c r="G647" s="19"/>
      <c r="P647" s="19"/>
      <c r="R647" s="19"/>
    </row>
    <row r="648" spans="2:18">
      <c r="B648" s="19"/>
      <c r="G648" s="19"/>
      <c r="P648" s="19"/>
      <c r="R648" s="19"/>
    </row>
    <row r="649" spans="2:18">
      <c r="B649" s="19"/>
      <c r="G649" s="19"/>
      <c r="P649" s="19"/>
      <c r="R649" s="19"/>
    </row>
    <row r="650" spans="2:18">
      <c r="B650" s="19"/>
      <c r="G650" s="19"/>
      <c r="P650" s="19"/>
      <c r="R650" s="19"/>
    </row>
    <row r="651" spans="2:18">
      <c r="B651" s="19"/>
      <c r="G651" s="19"/>
      <c r="P651" s="19"/>
      <c r="R651" s="19"/>
    </row>
    <row r="652" spans="2:18">
      <c r="B652" s="19"/>
      <c r="G652" s="19"/>
      <c r="P652" s="19"/>
      <c r="R652" s="19"/>
    </row>
    <row r="653" spans="2:18">
      <c r="B653" s="19"/>
      <c r="G653" s="19"/>
      <c r="P653" s="19"/>
      <c r="R653" s="19"/>
    </row>
    <row r="654" spans="2:18">
      <c r="B654" s="19"/>
      <c r="G654" s="19"/>
      <c r="P654" s="19"/>
      <c r="R654" s="19"/>
    </row>
    <row r="655" spans="2:18">
      <c r="B655" s="19"/>
      <c r="G655" s="19"/>
      <c r="P655" s="19"/>
      <c r="R655" s="19"/>
    </row>
    <row r="656" spans="2:18">
      <c r="B656" s="19"/>
      <c r="G656" s="19"/>
      <c r="P656" s="19"/>
      <c r="R656" s="19"/>
    </row>
    <row r="657" spans="2:18">
      <c r="B657" s="19"/>
      <c r="G657" s="19"/>
      <c r="P657" s="19"/>
      <c r="R657" s="19"/>
    </row>
    <row r="658" spans="2:18">
      <c r="B658" s="19"/>
      <c r="G658" s="19"/>
      <c r="P658" s="19"/>
      <c r="R658" s="19"/>
    </row>
    <row r="659" spans="2:18">
      <c r="B659" s="19"/>
      <c r="G659" s="19"/>
      <c r="P659" s="19"/>
      <c r="R659" s="19"/>
    </row>
    <row r="660" spans="2:18">
      <c r="B660" s="19"/>
      <c r="G660" s="19"/>
      <c r="P660" s="19"/>
      <c r="R660" s="19"/>
    </row>
    <row r="661" spans="2:18">
      <c r="B661" s="19"/>
      <c r="G661" s="19"/>
      <c r="P661" s="19"/>
      <c r="R661" s="19"/>
    </row>
    <row r="662" spans="2:18">
      <c r="B662" s="19"/>
      <c r="G662" s="19"/>
      <c r="P662" s="19"/>
      <c r="R662" s="19"/>
    </row>
    <row r="663" spans="2:18">
      <c r="B663" s="19"/>
      <c r="G663" s="19"/>
      <c r="P663" s="19"/>
      <c r="R663" s="19"/>
    </row>
    <row r="664" spans="2:18">
      <c r="B664" s="19"/>
      <c r="G664" s="19"/>
      <c r="P664" s="19"/>
      <c r="R664" s="19"/>
    </row>
    <row r="665" spans="2:18">
      <c r="B665" s="19"/>
      <c r="G665" s="19"/>
      <c r="P665" s="19"/>
      <c r="R665" s="19"/>
    </row>
    <row r="666" spans="2:18">
      <c r="B666" s="19"/>
      <c r="G666" s="19"/>
      <c r="P666" s="19"/>
      <c r="R666" s="19"/>
    </row>
    <row r="667" spans="2:18">
      <c r="B667" s="19"/>
      <c r="G667" s="19"/>
      <c r="P667" s="19"/>
      <c r="R667" s="19"/>
    </row>
    <row r="668" spans="2:18">
      <c r="B668" s="19"/>
      <c r="G668" s="19"/>
      <c r="P668" s="19"/>
      <c r="R668" s="19"/>
    </row>
    <row r="669" spans="2:18">
      <c r="B669" s="19"/>
      <c r="G669" s="19"/>
      <c r="P669" s="19"/>
      <c r="R669" s="19"/>
    </row>
    <row r="670" spans="2:18">
      <c r="B670" s="19"/>
      <c r="G670" s="19"/>
      <c r="P670" s="19"/>
      <c r="R670" s="19"/>
    </row>
    <row r="671" spans="2:18">
      <c r="B671" s="19"/>
      <c r="G671" s="19"/>
      <c r="P671" s="19"/>
      <c r="R671" s="19"/>
    </row>
    <row r="672" spans="2:18">
      <c r="B672" s="19"/>
      <c r="G672" s="19"/>
      <c r="P672" s="19"/>
      <c r="R672" s="19"/>
    </row>
    <row r="673" spans="2:18">
      <c r="B673" s="19"/>
      <c r="G673" s="19"/>
      <c r="P673" s="19"/>
      <c r="R673" s="19"/>
    </row>
    <row r="674" spans="2:18">
      <c r="B674" s="19"/>
      <c r="G674" s="19"/>
      <c r="P674" s="19"/>
      <c r="R674" s="19"/>
    </row>
    <row r="675" spans="2:18">
      <c r="B675" s="19"/>
      <c r="G675" s="19"/>
      <c r="P675" s="19"/>
      <c r="R675" s="19"/>
    </row>
    <row r="676" spans="2:18">
      <c r="B676" s="19"/>
      <c r="G676" s="19"/>
      <c r="P676" s="19"/>
      <c r="R676" s="19"/>
    </row>
    <row r="677" spans="2:18">
      <c r="B677" s="19"/>
      <c r="G677" s="19"/>
      <c r="P677" s="19"/>
      <c r="R677" s="19"/>
    </row>
    <row r="678" spans="2:18">
      <c r="B678" s="19"/>
      <c r="G678" s="19"/>
      <c r="P678" s="19"/>
      <c r="R678" s="19"/>
    </row>
    <row r="679" spans="2:18">
      <c r="B679" s="19"/>
      <c r="G679" s="19"/>
      <c r="P679" s="19"/>
      <c r="R679" s="19"/>
    </row>
    <row r="680" spans="2:18">
      <c r="B680" s="19"/>
      <c r="G680" s="19"/>
      <c r="P680" s="19"/>
      <c r="R680" s="19"/>
    </row>
    <row r="681" spans="2:18">
      <c r="B681" s="19"/>
      <c r="G681" s="19"/>
      <c r="P681" s="19"/>
      <c r="R681" s="19"/>
    </row>
    <row r="682" spans="2:18">
      <c r="B682" s="19"/>
      <c r="G682" s="19"/>
      <c r="P682" s="19"/>
      <c r="R682" s="19"/>
    </row>
    <row r="683" spans="2:18">
      <c r="B683" s="19"/>
      <c r="G683" s="19"/>
      <c r="P683" s="19"/>
      <c r="R683" s="19"/>
    </row>
    <row r="684" spans="2:18">
      <c r="B684" s="19"/>
      <c r="G684" s="19"/>
      <c r="P684" s="19"/>
      <c r="R684" s="19"/>
    </row>
    <row r="685" spans="2:18">
      <c r="B685" s="19"/>
      <c r="G685" s="19"/>
      <c r="P685" s="19"/>
      <c r="R685" s="19"/>
    </row>
    <row r="686" spans="2:18">
      <c r="B686" s="19"/>
      <c r="G686" s="19"/>
      <c r="P686" s="19"/>
      <c r="R686" s="19"/>
    </row>
    <row r="687" spans="2:18">
      <c r="B687" s="19"/>
      <c r="G687" s="19"/>
      <c r="P687" s="19"/>
      <c r="R687" s="19"/>
    </row>
    <row r="688" spans="2:18">
      <c r="B688" s="19"/>
      <c r="G688" s="19"/>
      <c r="P688" s="19"/>
      <c r="R688" s="19"/>
    </row>
    <row r="689" spans="2:18">
      <c r="B689" s="19"/>
      <c r="G689" s="19"/>
      <c r="P689" s="19"/>
      <c r="R689" s="19"/>
    </row>
    <row r="690" spans="2:18">
      <c r="B690" s="19"/>
      <c r="G690" s="19"/>
      <c r="P690" s="19"/>
      <c r="R690" s="19"/>
    </row>
    <row r="691" spans="2:18">
      <c r="B691" s="19"/>
      <c r="G691" s="19"/>
      <c r="P691" s="19"/>
      <c r="R691" s="19"/>
    </row>
    <row r="692" spans="2:18">
      <c r="B692" s="19"/>
      <c r="G692" s="19"/>
      <c r="P692" s="19"/>
      <c r="R692" s="19"/>
    </row>
    <row r="693" spans="2:18">
      <c r="B693" s="19"/>
      <c r="G693" s="19"/>
      <c r="P693" s="19"/>
      <c r="R693" s="19"/>
    </row>
    <row r="694" spans="2:18">
      <c r="B694" s="19"/>
      <c r="G694" s="19"/>
      <c r="P694" s="19"/>
      <c r="R694" s="19"/>
    </row>
    <row r="695" spans="2:18">
      <c r="B695" s="19"/>
      <c r="G695" s="19"/>
      <c r="P695" s="19"/>
      <c r="R695" s="19"/>
    </row>
    <row r="696" spans="2:18">
      <c r="B696" s="19"/>
      <c r="G696" s="19"/>
      <c r="P696" s="19"/>
      <c r="R696" s="19"/>
    </row>
    <row r="697" spans="2:18">
      <c r="B697" s="19"/>
      <c r="G697" s="19"/>
      <c r="P697" s="19"/>
      <c r="R697" s="19"/>
    </row>
    <row r="698" spans="2:18">
      <c r="B698" s="19"/>
      <c r="G698" s="19"/>
      <c r="P698" s="19"/>
      <c r="R698" s="19"/>
    </row>
    <row r="699" spans="2:18">
      <c r="B699" s="19"/>
      <c r="G699" s="19"/>
      <c r="P699" s="19"/>
      <c r="R699" s="19"/>
    </row>
    <row r="700" spans="2:18">
      <c r="B700" s="19"/>
      <c r="G700" s="19"/>
      <c r="P700" s="19"/>
      <c r="R700" s="19"/>
    </row>
    <row r="701" spans="2:18">
      <c r="B701" s="19"/>
      <c r="G701" s="19"/>
      <c r="P701" s="19"/>
      <c r="R701" s="19"/>
    </row>
    <row r="702" spans="2:18">
      <c r="B702" s="19"/>
      <c r="G702" s="19"/>
      <c r="P702" s="19"/>
      <c r="R702" s="19"/>
    </row>
    <row r="703" spans="2:18">
      <c r="B703" s="19"/>
      <c r="G703" s="19"/>
      <c r="P703" s="19"/>
      <c r="R703" s="19"/>
    </row>
    <row r="704" spans="2:18">
      <c r="B704" s="19"/>
      <c r="G704" s="19"/>
      <c r="P704" s="19"/>
      <c r="R704" s="19"/>
    </row>
    <row r="705" spans="2:18">
      <c r="B705" s="19"/>
      <c r="G705" s="19"/>
      <c r="P705" s="19"/>
      <c r="R705" s="19"/>
    </row>
    <row r="706" spans="2:18">
      <c r="B706" s="19"/>
      <c r="G706" s="19"/>
      <c r="P706" s="19"/>
      <c r="R706" s="19"/>
    </row>
    <row r="707" spans="2:18">
      <c r="B707" s="19"/>
      <c r="G707" s="19"/>
      <c r="P707" s="19"/>
      <c r="R707" s="19"/>
    </row>
    <row r="708" spans="2:18">
      <c r="B708" s="19"/>
      <c r="G708" s="19"/>
      <c r="P708" s="19"/>
      <c r="R708" s="19"/>
    </row>
    <row r="709" spans="2:18">
      <c r="B709" s="19"/>
      <c r="G709" s="19"/>
      <c r="P709" s="19"/>
      <c r="R709" s="19"/>
    </row>
    <row r="710" spans="2:18">
      <c r="B710" s="19"/>
      <c r="G710" s="19"/>
      <c r="P710" s="19"/>
      <c r="R710" s="19"/>
    </row>
    <row r="711" spans="2:18">
      <c r="B711" s="19"/>
      <c r="G711" s="19"/>
      <c r="P711" s="19"/>
      <c r="R711" s="19"/>
    </row>
    <row r="712" spans="2:18">
      <c r="B712" s="19"/>
      <c r="G712" s="19"/>
      <c r="P712" s="19"/>
      <c r="R712" s="19"/>
    </row>
    <row r="713" spans="2:18">
      <c r="B713" s="19"/>
      <c r="G713" s="19"/>
      <c r="P713" s="19"/>
      <c r="R713" s="19"/>
    </row>
    <row r="714" spans="2:18">
      <c r="B714" s="19"/>
      <c r="G714" s="19"/>
      <c r="P714" s="19"/>
      <c r="R714" s="19"/>
    </row>
    <row r="715" spans="2:18">
      <c r="B715" s="19"/>
      <c r="G715" s="19"/>
      <c r="P715" s="19"/>
      <c r="R715" s="19"/>
    </row>
    <row r="716" spans="2:18">
      <c r="B716" s="19"/>
      <c r="G716" s="19"/>
      <c r="P716" s="19"/>
      <c r="R716" s="19"/>
    </row>
    <row r="717" spans="2:18">
      <c r="B717" s="19"/>
      <c r="G717" s="19"/>
      <c r="P717" s="19"/>
      <c r="R717" s="19"/>
    </row>
    <row r="718" spans="2:18">
      <c r="B718" s="19"/>
      <c r="G718" s="19"/>
      <c r="P718" s="19"/>
      <c r="R718" s="19"/>
    </row>
    <row r="719" spans="2:18">
      <c r="B719" s="19"/>
      <c r="G719" s="19"/>
      <c r="P719" s="19"/>
      <c r="R719" s="19"/>
    </row>
    <row r="720" spans="2:18">
      <c r="B720" s="19"/>
      <c r="G720" s="19"/>
      <c r="P720" s="19"/>
      <c r="R720" s="19"/>
    </row>
    <row r="721" spans="2:18">
      <c r="B721" s="19"/>
      <c r="G721" s="19"/>
      <c r="P721" s="19"/>
      <c r="R721" s="19"/>
    </row>
    <row r="722" spans="2:18">
      <c r="B722" s="19"/>
      <c r="G722" s="19"/>
      <c r="P722" s="19"/>
      <c r="R722" s="19"/>
    </row>
    <row r="723" spans="2:18">
      <c r="B723" s="19"/>
      <c r="G723" s="19"/>
      <c r="P723" s="19"/>
      <c r="R723" s="19"/>
    </row>
    <row r="724" spans="2:18">
      <c r="B724" s="19"/>
      <c r="G724" s="19"/>
      <c r="P724" s="19"/>
      <c r="R724" s="19"/>
    </row>
    <row r="725" spans="2:18">
      <c r="B725" s="19"/>
      <c r="G725" s="19"/>
      <c r="P725" s="19"/>
      <c r="R725" s="19"/>
    </row>
    <row r="726" spans="2:18">
      <c r="B726" s="19"/>
      <c r="G726" s="19"/>
      <c r="P726" s="19"/>
      <c r="R726" s="19"/>
    </row>
    <row r="727" spans="2:18">
      <c r="B727" s="19"/>
      <c r="G727" s="19"/>
      <c r="P727" s="19"/>
      <c r="R727" s="19"/>
    </row>
    <row r="728" spans="2:18">
      <c r="B728" s="19"/>
      <c r="G728" s="19"/>
      <c r="P728" s="19"/>
      <c r="R728" s="19"/>
    </row>
    <row r="729" spans="2:18">
      <c r="B729" s="19"/>
      <c r="G729" s="19"/>
      <c r="P729" s="19"/>
      <c r="R729" s="19"/>
    </row>
    <row r="730" spans="2:18">
      <c r="B730" s="19"/>
      <c r="G730" s="19"/>
      <c r="P730" s="19"/>
      <c r="R730" s="19"/>
    </row>
    <row r="731" spans="2:18">
      <c r="B731" s="19"/>
      <c r="G731" s="19"/>
      <c r="P731" s="19"/>
      <c r="R731" s="19"/>
    </row>
    <row r="732" spans="2:18">
      <c r="B732" s="19"/>
      <c r="G732" s="19"/>
      <c r="P732" s="19"/>
      <c r="R732" s="19"/>
    </row>
    <row r="733" spans="2:18">
      <c r="B733" s="19"/>
      <c r="G733" s="19"/>
      <c r="P733" s="19"/>
      <c r="R733" s="19"/>
    </row>
    <row r="734" spans="2:18">
      <c r="B734" s="19"/>
      <c r="G734" s="19"/>
      <c r="P734" s="19"/>
      <c r="R734" s="19"/>
    </row>
    <row r="735" spans="2:18">
      <c r="B735" s="19"/>
      <c r="G735" s="19"/>
      <c r="P735" s="19"/>
      <c r="R735" s="19"/>
    </row>
    <row r="736" spans="2:18">
      <c r="B736" s="19"/>
      <c r="G736" s="19"/>
      <c r="P736" s="19"/>
      <c r="R736" s="19"/>
    </row>
    <row r="737" spans="2:18">
      <c r="B737" s="19"/>
      <c r="G737" s="19"/>
      <c r="P737" s="19"/>
      <c r="R737" s="19"/>
    </row>
    <row r="738" spans="2:18">
      <c r="B738" s="19"/>
      <c r="G738" s="19"/>
      <c r="P738" s="19"/>
      <c r="R738" s="19"/>
    </row>
    <row r="739" spans="2:18">
      <c r="B739" s="19"/>
      <c r="G739" s="19"/>
      <c r="P739" s="19"/>
      <c r="R739" s="19"/>
    </row>
    <row r="740" spans="2:18">
      <c r="B740" s="19"/>
      <c r="G740" s="19"/>
      <c r="P740" s="19"/>
      <c r="R740" s="19"/>
    </row>
    <row r="741" spans="2:18">
      <c r="B741" s="19"/>
      <c r="G741" s="19"/>
      <c r="P741" s="19"/>
      <c r="R741" s="19"/>
    </row>
    <row r="742" spans="2:18">
      <c r="B742" s="19"/>
      <c r="G742" s="19"/>
      <c r="P742" s="19"/>
      <c r="R742" s="19"/>
    </row>
    <row r="743" spans="2:18">
      <c r="B743" s="19"/>
      <c r="G743" s="19"/>
      <c r="P743" s="19"/>
      <c r="R743" s="19"/>
    </row>
    <row r="744" spans="2:18">
      <c r="B744" s="19"/>
      <c r="G744" s="19"/>
      <c r="P744" s="19"/>
      <c r="R744" s="19"/>
    </row>
    <row r="745" spans="2:18">
      <c r="B745" s="19"/>
      <c r="G745" s="19"/>
      <c r="P745" s="19"/>
      <c r="R745" s="19"/>
    </row>
    <row r="746" spans="2:18">
      <c r="B746" s="19"/>
      <c r="G746" s="19"/>
      <c r="P746" s="19"/>
      <c r="R746" s="19"/>
    </row>
    <row r="747" spans="2:18">
      <c r="B747" s="19"/>
      <c r="G747" s="19"/>
      <c r="P747" s="19"/>
      <c r="R747" s="19"/>
    </row>
    <row r="748" spans="2:18">
      <c r="B748" s="19"/>
      <c r="G748" s="19"/>
      <c r="P748" s="19"/>
      <c r="R748" s="19"/>
    </row>
    <row r="749" spans="2:18">
      <c r="B749" s="19"/>
      <c r="G749" s="19"/>
      <c r="P749" s="19"/>
      <c r="R749" s="19"/>
    </row>
    <row r="750" spans="2:18">
      <c r="B750" s="19"/>
      <c r="G750" s="19"/>
      <c r="P750" s="19"/>
      <c r="R750" s="19"/>
    </row>
    <row r="751" spans="2:18">
      <c r="B751" s="19"/>
      <c r="G751" s="19"/>
      <c r="P751" s="19"/>
      <c r="R751" s="19"/>
    </row>
    <row r="752" spans="2:18">
      <c r="B752" s="19"/>
      <c r="G752" s="19"/>
      <c r="P752" s="19"/>
      <c r="R752" s="19"/>
    </row>
    <row r="753" spans="2:18">
      <c r="B753" s="19"/>
      <c r="G753" s="19"/>
      <c r="P753" s="19"/>
      <c r="R753" s="19"/>
    </row>
    <row r="754" spans="2:18">
      <c r="B754" s="19"/>
      <c r="G754" s="19"/>
      <c r="P754" s="19"/>
      <c r="R754" s="19"/>
    </row>
    <row r="755" spans="2:18">
      <c r="B755" s="19"/>
      <c r="G755" s="19"/>
      <c r="P755" s="19"/>
      <c r="R755" s="19"/>
    </row>
    <row r="756" spans="2:18">
      <c r="B756" s="19"/>
      <c r="G756" s="19"/>
      <c r="P756" s="19"/>
      <c r="R756" s="19"/>
    </row>
    <row r="757" spans="2:18">
      <c r="B757" s="19"/>
      <c r="G757" s="19"/>
      <c r="P757" s="19"/>
      <c r="R757" s="19"/>
    </row>
    <row r="758" spans="2:18">
      <c r="B758" s="19"/>
      <c r="G758" s="19"/>
      <c r="P758" s="19"/>
      <c r="R758" s="19"/>
    </row>
    <row r="759" spans="2:18">
      <c r="B759" s="19"/>
      <c r="G759" s="19"/>
      <c r="P759" s="19"/>
      <c r="R759" s="19"/>
    </row>
    <row r="760" spans="2:18">
      <c r="B760" s="19"/>
      <c r="G760" s="19"/>
      <c r="P760" s="19"/>
      <c r="R760" s="19"/>
    </row>
    <row r="761" spans="2:18">
      <c r="B761" s="19"/>
      <c r="G761" s="19"/>
      <c r="P761" s="19"/>
      <c r="R761" s="19"/>
    </row>
    <row r="762" spans="2:18">
      <c r="B762" s="19"/>
      <c r="G762" s="19"/>
      <c r="P762" s="19"/>
      <c r="R762" s="19"/>
    </row>
    <row r="763" spans="2:18">
      <c r="B763" s="19"/>
      <c r="G763" s="19"/>
      <c r="P763" s="19"/>
      <c r="R763" s="19"/>
    </row>
    <row r="764" spans="2:18">
      <c r="B764" s="19"/>
      <c r="G764" s="19"/>
      <c r="P764" s="19"/>
      <c r="R764" s="19"/>
    </row>
    <row r="765" spans="2:18">
      <c r="B765" s="19"/>
      <c r="G765" s="19"/>
      <c r="P765" s="19"/>
      <c r="R765" s="19"/>
    </row>
    <row r="766" spans="2:18">
      <c r="B766" s="19"/>
      <c r="G766" s="19"/>
      <c r="P766" s="19"/>
      <c r="R766" s="19"/>
    </row>
    <row r="767" spans="2:18">
      <c r="B767" s="19"/>
      <c r="G767" s="19"/>
      <c r="P767" s="19"/>
      <c r="R767" s="19"/>
    </row>
    <row r="768" spans="2:18">
      <c r="B768" s="19"/>
      <c r="G768" s="19"/>
      <c r="P768" s="19"/>
      <c r="R768" s="19"/>
    </row>
    <row r="769" spans="2:18">
      <c r="B769" s="19"/>
      <c r="G769" s="19"/>
      <c r="P769" s="19"/>
      <c r="R769" s="19"/>
    </row>
    <row r="770" spans="2:18">
      <c r="B770" s="19"/>
      <c r="G770" s="19"/>
      <c r="P770" s="19"/>
      <c r="R770" s="19"/>
    </row>
    <row r="771" spans="2:18">
      <c r="B771" s="19"/>
      <c r="G771" s="19"/>
      <c r="P771" s="19"/>
      <c r="R771" s="19"/>
    </row>
    <row r="772" spans="2:18">
      <c r="B772" s="19"/>
      <c r="G772" s="19"/>
      <c r="P772" s="19"/>
      <c r="R772" s="19"/>
    </row>
    <row r="773" spans="2:18">
      <c r="B773" s="19"/>
      <c r="G773" s="19"/>
      <c r="P773" s="19"/>
      <c r="R773" s="19"/>
    </row>
    <row r="774" spans="2:18">
      <c r="B774" s="19"/>
      <c r="G774" s="19"/>
      <c r="P774" s="19"/>
      <c r="R774" s="19"/>
    </row>
    <row r="775" spans="2:18">
      <c r="B775" s="19"/>
      <c r="G775" s="19"/>
      <c r="P775" s="19"/>
      <c r="R775" s="19"/>
    </row>
    <row r="776" spans="2:18">
      <c r="B776" s="19"/>
      <c r="G776" s="19"/>
      <c r="P776" s="19"/>
      <c r="R776" s="19"/>
    </row>
    <row r="777" spans="2:18">
      <c r="B777" s="19"/>
      <c r="G777" s="19"/>
      <c r="P777" s="19"/>
      <c r="R777" s="19"/>
    </row>
    <row r="778" spans="2:18">
      <c r="B778" s="19"/>
      <c r="G778" s="19"/>
      <c r="P778" s="19"/>
      <c r="R778" s="19"/>
    </row>
    <row r="779" spans="2:18">
      <c r="B779" s="19"/>
      <c r="G779" s="19"/>
      <c r="P779" s="19"/>
      <c r="R779" s="19"/>
    </row>
    <row r="780" spans="2:18">
      <c r="B780" s="19"/>
      <c r="G780" s="19"/>
      <c r="P780" s="19"/>
      <c r="R780" s="19"/>
    </row>
    <row r="781" spans="2:18">
      <c r="B781" s="19"/>
      <c r="G781" s="19"/>
      <c r="P781" s="19"/>
      <c r="R781" s="19"/>
    </row>
    <row r="782" spans="2:18">
      <c r="B782" s="19"/>
      <c r="G782" s="19"/>
      <c r="P782" s="19"/>
      <c r="R782" s="19"/>
    </row>
    <row r="783" spans="2:18">
      <c r="B783" s="19"/>
      <c r="G783" s="19"/>
      <c r="P783" s="19"/>
      <c r="R783" s="19"/>
    </row>
    <row r="784" spans="2:18">
      <c r="B784" s="19"/>
      <c r="G784" s="19"/>
      <c r="P784" s="19"/>
      <c r="R784" s="19"/>
    </row>
    <row r="785" spans="2:18">
      <c r="B785" s="19"/>
      <c r="G785" s="19"/>
      <c r="P785" s="19"/>
      <c r="R785" s="19"/>
    </row>
    <row r="786" spans="2:18">
      <c r="B786" s="19"/>
      <c r="G786" s="19"/>
      <c r="P786" s="19"/>
      <c r="R786" s="19"/>
    </row>
    <row r="787" spans="2:18">
      <c r="B787" s="19"/>
      <c r="G787" s="19"/>
      <c r="P787" s="19"/>
      <c r="R787" s="19"/>
    </row>
    <row r="788" spans="2:18">
      <c r="B788" s="19"/>
      <c r="G788" s="19"/>
      <c r="P788" s="19"/>
      <c r="R788" s="19"/>
    </row>
    <row r="789" spans="2:18">
      <c r="B789" s="19"/>
      <c r="G789" s="19"/>
      <c r="P789" s="19"/>
      <c r="R789" s="19"/>
    </row>
    <row r="790" spans="2:18">
      <c r="B790" s="19"/>
      <c r="G790" s="19"/>
      <c r="P790" s="19"/>
      <c r="R790" s="19"/>
    </row>
    <row r="791" spans="2:18">
      <c r="B791" s="19"/>
      <c r="G791" s="19"/>
      <c r="P791" s="19"/>
      <c r="R791" s="19"/>
    </row>
    <row r="792" spans="2:18">
      <c r="B792" s="19"/>
      <c r="G792" s="19"/>
      <c r="P792" s="19"/>
      <c r="R792" s="19"/>
    </row>
    <row r="793" spans="2:18">
      <c r="B793" s="19"/>
      <c r="G793" s="19"/>
      <c r="P793" s="19"/>
      <c r="R793" s="19"/>
    </row>
    <row r="794" spans="2:18">
      <c r="B794" s="19"/>
      <c r="G794" s="19"/>
      <c r="P794" s="19"/>
      <c r="R794" s="19"/>
    </row>
    <row r="795" spans="2:18">
      <c r="B795" s="19"/>
      <c r="G795" s="19"/>
      <c r="P795" s="19"/>
      <c r="R795" s="19"/>
    </row>
    <row r="796" spans="2:18">
      <c r="B796" s="19"/>
      <c r="G796" s="19"/>
      <c r="P796" s="19"/>
      <c r="R796" s="19"/>
    </row>
    <row r="797" spans="2:18">
      <c r="B797" s="19"/>
      <c r="G797" s="19"/>
      <c r="P797" s="19"/>
      <c r="R797" s="19"/>
    </row>
    <row r="798" spans="2:18">
      <c r="B798" s="19"/>
      <c r="G798" s="19"/>
      <c r="P798" s="19"/>
      <c r="R798" s="19"/>
    </row>
    <row r="799" spans="2:18">
      <c r="B799" s="19"/>
      <c r="G799" s="19"/>
      <c r="P799" s="19"/>
      <c r="R799" s="19"/>
    </row>
    <row r="800" spans="2:18">
      <c r="B800" s="19"/>
      <c r="G800" s="19"/>
      <c r="P800" s="19"/>
      <c r="R800" s="19"/>
    </row>
    <row r="801" spans="2:18">
      <c r="B801" s="19"/>
      <c r="G801" s="19"/>
      <c r="P801" s="19"/>
      <c r="R801" s="19"/>
    </row>
    <row r="802" spans="2:18">
      <c r="B802" s="19"/>
      <c r="G802" s="19"/>
      <c r="P802" s="19"/>
      <c r="R802" s="19"/>
    </row>
    <row r="803" spans="2:18">
      <c r="B803" s="19"/>
      <c r="G803" s="19"/>
      <c r="P803" s="19"/>
      <c r="R803" s="19"/>
    </row>
    <row r="804" spans="2:18">
      <c r="B804" s="19"/>
      <c r="G804" s="19"/>
      <c r="P804" s="19"/>
      <c r="R804" s="19"/>
    </row>
    <row r="805" spans="2:18">
      <c r="B805" s="19"/>
      <c r="G805" s="19"/>
      <c r="P805" s="19"/>
      <c r="R805" s="19"/>
    </row>
    <row r="806" spans="2:18">
      <c r="B806" s="19"/>
      <c r="G806" s="19"/>
      <c r="P806" s="19"/>
      <c r="R806" s="19"/>
    </row>
    <row r="807" spans="2:18">
      <c r="B807" s="19"/>
      <c r="G807" s="19"/>
      <c r="P807" s="19"/>
      <c r="R807" s="19"/>
    </row>
    <row r="808" spans="2:18">
      <c r="B808" s="19"/>
      <c r="G808" s="19"/>
      <c r="P808" s="19"/>
      <c r="R808" s="19"/>
    </row>
    <row r="809" spans="2:18">
      <c r="B809" s="19"/>
      <c r="G809" s="19"/>
      <c r="P809" s="19"/>
      <c r="R809" s="19"/>
    </row>
    <row r="810" spans="2:18">
      <c r="B810" s="19"/>
      <c r="G810" s="19"/>
      <c r="P810" s="19"/>
      <c r="R810" s="19"/>
    </row>
    <row r="811" spans="2:18">
      <c r="B811" s="19"/>
      <c r="G811" s="19"/>
      <c r="P811" s="19"/>
      <c r="R811" s="19"/>
    </row>
    <row r="812" spans="2:18">
      <c r="B812" s="19"/>
      <c r="G812" s="19"/>
      <c r="P812" s="19"/>
      <c r="R812" s="19"/>
    </row>
    <row r="813" spans="2:18">
      <c r="B813" s="19"/>
      <c r="G813" s="19"/>
      <c r="P813" s="19"/>
      <c r="R813" s="19"/>
    </row>
    <row r="814" spans="2:18">
      <c r="B814" s="19"/>
      <c r="G814" s="19"/>
      <c r="P814" s="19"/>
      <c r="R814" s="19"/>
    </row>
    <row r="815" spans="2:18">
      <c r="B815" s="19"/>
      <c r="G815" s="19"/>
      <c r="P815" s="19"/>
      <c r="R815" s="19"/>
    </row>
    <row r="816" spans="2:18">
      <c r="B816" s="19"/>
      <c r="G816" s="19"/>
      <c r="P816" s="19"/>
      <c r="R816" s="19"/>
    </row>
    <row r="817" spans="2:18">
      <c r="B817" s="19"/>
      <c r="G817" s="19"/>
      <c r="P817" s="19"/>
      <c r="R817" s="19"/>
    </row>
    <row r="818" spans="2:18">
      <c r="B818" s="19"/>
      <c r="G818" s="19"/>
      <c r="P818" s="19"/>
      <c r="R818" s="19"/>
    </row>
    <row r="819" spans="2:18">
      <c r="B819" s="19"/>
      <c r="G819" s="19"/>
      <c r="P819" s="19"/>
      <c r="R819" s="19"/>
    </row>
    <row r="820" spans="2:18">
      <c r="B820" s="19"/>
      <c r="G820" s="19"/>
      <c r="P820" s="19"/>
      <c r="R820" s="19"/>
    </row>
    <row r="821" spans="2:18">
      <c r="B821" s="19"/>
      <c r="G821" s="19"/>
      <c r="P821" s="19"/>
      <c r="R821" s="19"/>
    </row>
    <row r="822" spans="2:18">
      <c r="B822" s="19"/>
      <c r="G822" s="19"/>
      <c r="P822" s="19"/>
      <c r="R822" s="19"/>
    </row>
    <row r="823" spans="2:18">
      <c r="B823" s="19"/>
      <c r="G823" s="19"/>
      <c r="P823" s="19"/>
      <c r="R823" s="19"/>
    </row>
    <row r="824" spans="2:18">
      <c r="B824" s="19"/>
      <c r="G824" s="19"/>
      <c r="P824" s="19"/>
      <c r="R824" s="19"/>
    </row>
    <row r="825" spans="2:18">
      <c r="B825" s="19"/>
      <c r="G825" s="19"/>
      <c r="P825" s="19"/>
      <c r="R825" s="19"/>
    </row>
    <row r="826" spans="2:18">
      <c r="B826" s="19"/>
      <c r="G826" s="19"/>
      <c r="P826" s="19"/>
      <c r="R826" s="19"/>
    </row>
    <row r="827" spans="2:18">
      <c r="B827" s="19"/>
      <c r="G827" s="19"/>
      <c r="P827" s="19"/>
      <c r="R827" s="19"/>
    </row>
    <row r="828" spans="2:18">
      <c r="B828" s="19"/>
      <c r="G828" s="19"/>
      <c r="P828" s="19"/>
      <c r="R828" s="19"/>
    </row>
    <row r="829" spans="2:18">
      <c r="B829" s="19"/>
      <c r="G829" s="19"/>
      <c r="P829" s="19"/>
      <c r="R829" s="19"/>
    </row>
    <row r="830" spans="2:18">
      <c r="B830" s="19"/>
      <c r="G830" s="19"/>
      <c r="P830" s="19"/>
      <c r="R830" s="19"/>
    </row>
    <row r="831" spans="2:18">
      <c r="B831" s="19"/>
      <c r="G831" s="19"/>
      <c r="P831" s="19"/>
      <c r="R831" s="19"/>
    </row>
    <row r="832" spans="2:18">
      <c r="B832" s="19"/>
      <c r="G832" s="19"/>
      <c r="P832" s="19"/>
      <c r="R832" s="19"/>
    </row>
    <row r="833" spans="2:18">
      <c r="B833" s="19"/>
      <c r="G833" s="19"/>
      <c r="P833" s="19"/>
      <c r="R833" s="19"/>
    </row>
    <row r="834" spans="2:18">
      <c r="B834" s="19"/>
      <c r="G834" s="19"/>
      <c r="P834" s="19"/>
      <c r="R834" s="19"/>
    </row>
    <row r="835" spans="2:18">
      <c r="B835" s="19"/>
      <c r="G835" s="19"/>
      <c r="P835" s="19"/>
      <c r="R835" s="19"/>
    </row>
    <row r="836" spans="2:18">
      <c r="B836" s="19"/>
      <c r="G836" s="19"/>
      <c r="P836" s="19"/>
      <c r="R836" s="19"/>
    </row>
    <row r="837" spans="2:18">
      <c r="B837" s="19"/>
      <c r="G837" s="19"/>
      <c r="P837" s="19"/>
      <c r="R837" s="19"/>
    </row>
    <row r="838" spans="2:18">
      <c r="B838" s="19"/>
      <c r="G838" s="19"/>
      <c r="P838" s="19"/>
      <c r="R838" s="19"/>
    </row>
    <row r="839" spans="2:18">
      <c r="B839" s="19"/>
      <c r="G839" s="19"/>
      <c r="P839" s="19"/>
      <c r="R839" s="19"/>
    </row>
    <row r="840" spans="2:18">
      <c r="B840" s="19"/>
      <c r="G840" s="19"/>
      <c r="P840" s="19"/>
      <c r="R840" s="19"/>
    </row>
    <row r="841" spans="2:18">
      <c r="B841" s="19"/>
      <c r="G841" s="19"/>
      <c r="P841" s="19"/>
      <c r="R841" s="19"/>
    </row>
    <row r="842" spans="2:18">
      <c r="B842" s="19"/>
      <c r="G842" s="19"/>
      <c r="P842" s="19"/>
      <c r="R842" s="19"/>
    </row>
    <row r="843" spans="2:18">
      <c r="B843" s="19"/>
      <c r="G843" s="19"/>
      <c r="P843" s="19"/>
      <c r="R843" s="19"/>
    </row>
    <row r="844" spans="2:18">
      <c r="B844" s="19"/>
      <c r="G844" s="19"/>
      <c r="P844" s="19"/>
      <c r="R844" s="19"/>
    </row>
    <row r="845" spans="2:18">
      <c r="B845" s="19"/>
      <c r="G845" s="19"/>
      <c r="P845" s="19"/>
      <c r="R845" s="19"/>
    </row>
    <row r="846" spans="2:18">
      <c r="B846" s="19"/>
      <c r="G846" s="19"/>
      <c r="P846" s="19"/>
      <c r="R846" s="19"/>
    </row>
    <row r="847" spans="2:18">
      <c r="B847" s="19"/>
      <c r="G847" s="19"/>
      <c r="P847" s="19"/>
      <c r="R847" s="19"/>
    </row>
    <row r="848" spans="2:18">
      <c r="B848" s="19"/>
      <c r="G848" s="19"/>
      <c r="P848" s="19"/>
      <c r="R848" s="19"/>
    </row>
    <row r="849" spans="2:18">
      <c r="B849" s="19"/>
      <c r="G849" s="19"/>
      <c r="P849" s="19"/>
      <c r="R849" s="19"/>
    </row>
    <row r="850" spans="2:18">
      <c r="B850" s="19"/>
      <c r="G850" s="19"/>
      <c r="P850" s="19"/>
      <c r="R850" s="19"/>
    </row>
    <row r="851" spans="2:18">
      <c r="B851" s="19"/>
      <c r="G851" s="19"/>
      <c r="P851" s="19"/>
      <c r="R851" s="19"/>
    </row>
    <row r="852" spans="2:18">
      <c r="B852" s="19"/>
      <c r="G852" s="19"/>
      <c r="P852" s="19"/>
      <c r="R852" s="19"/>
    </row>
    <row r="853" spans="2:18">
      <c r="B853" s="19"/>
      <c r="G853" s="19"/>
      <c r="P853" s="19"/>
      <c r="R853" s="19"/>
    </row>
    <row r="854" spans="2:18">
      <c r="B854" s="19"/>
      <c r="G854" s="19"/>
      <c r="P854" s="19"/>
      <c r="R854" s="19"/>
    </row>
    <row r="855" spans="2:18">
      <c r="B855" s="19"/>
      <c r="G855" s="19"/>
      <c r="P855" s="19"/>
      <c r="R855" s="19"/>
    </row>
    <row r="856" spans="2:18">
      <c r="B856" s="19"/>
      <c r="G856" s="19"/>
      <c r="P856" s="19"/>
      <c r="R856" s="19"/>
    </row>
    <row r="857" spans="2:18">
      <c r="B857" s="19"/>
      <c r="G857" s="19"/>
      <c r="P857" s="19"/>
      <c r="R857" s="19"/>
    </row>
    <row r="858" spans="2:18">
      <c r="B858" s="19"/>
      <c r="G858" s="19"/>
      <c r="P858" s="19"/>
      <c r="R858" s="19"/>
    </row>
    <row r="859" spans="2:18">
      <c r="B859" s="19"/>
      <c r="G859" s="19"/>
      <c r="P859" s="19"/>
      <c r="R859" s="19"/>
    </row>
    <row r="860" spans="2:18">
      <c r="B860" s="19"/>
      <c r="G860" s="19"/>
      <c r="P860" s="19"/>
      <c r="R860" s="19"/>
    </row>
    <row r="861" spans="2:18">
      <c r="B861" s="19"/>
      <c r="G861" s="19"/>
      <c r="P861" s="19"/>
      <c r="R861" s="19"/>
    </row>
    <row r="862" spans="2:18">
      <c r="B862" s="19"/>
      <c r="G862" s="19"/>
      <c r="P862" s="19"/>
      <c r="R862" s="19"/>
    </row>
    <row r="863" spans="2:18">
      <c r="B863" s="19"/>
      <c r="G863" s="19"/>
      <c r="P863" s="19"/>
      <c r="R863" s="19"/>
    </row>
    <row r="864" spans="2:18">
      <c r="B864" s="19"/>
      <c r="G864" s="19"/>
      <c r="P864" s="19"/>
      <c r="R864" s="19"/>
    </row>
    <row r="865" spans="2:18">
      <c r="B865" s="19"/>
      <c r="G865" s="19"/>
      <c r="P865" s="19"/>
      <c r="R865" s="19"/>
    </row>
    <row r="866" spans="2:18">
      <c r="B866" s="19"/>
      <c r="G866" s="19"/>
      <c r="P866" s="19"/>
      <c r="R866" s="19"/>
    </row>
    <row r="867" spans="2:18">
      <c r="B867" s="19"/>
      <c r="G867" s="19"/>
      <c r="P867" s="19"/>
      <c r="R867" s="19"/>
    </row>
    <row r="868" spans="2:18">
      <c r="B868" s="19"/>
      <c r="G868" s="19"/>
      <c r="P868" s="19"/>
      <c r="R868" s="19"/>
    </row>
    <row r="869" spans="2:18">
      <c r="B869" s="19"/>
      <c r="G869" s="19"/>
      <c r="P869" s="19"/>
      <c r="R869" s="19"/>
    </row>
    <row r="870" spans="2:18">
      <c r="B870" s="19"/>
      <c r="G870" s="19"/>
      <c r="P870" s="19"/>
      <c r="R870" s="19"/>
    </row>
    <row r="871" spans="2:18">
      <c r="B871" s="19"/>
      <c r="G871" s="19"/>
      <c r="P871" s="19"/>
      <c r="R871" s="19"/>
    </row>
    <row r="872" spans="2:18">
      <c r="B872" s="19"/>
      <c r="G872" s="19"/>
      <c r="P872" s="19"/>
      <c r="R872" s="19"/>
    </row>
    <row r="873" spans="2:18">
      <c r="B873" s="19"/>
      <c r="G873" s="19"/>
      <c r="P873" s="19"/>
      <c r="R873" s="19"/>
    </row>
    <row r="874" spans="2:18">
      <c r="B874" s="19"/>
      <c r="G874" s="19"/>
      <c r="P874" s="19"/>
      <c r="R874" s="19"/>
    </row>
    <row r="875" spans="2:18">
      <c r="B875" s="19"/>
      <c r="G875" s="19"/>
      <c r="P875" s="19"/>
      <c r="R875" s="19"/>
    </row>
    <row r="876" spans="2:18">
      <c r="B876" s="19"/>
      <c r="G876" s="19"/>
      <c r="P876" s="19"/>
      <c r="R876" s="19"/>
    </row>
    <row r="877" spans="2:18">
      <c r="B877" s="19"/>
      <c r="G877" s="19"/>
      <c r="P877" s="19"/>
      <c r="R877" s="19"/>
    </row>
    <row r="878" spans="2:18">
      <c r="B878" s="19"/>
      <c r="G878" s="19"/>
      <c r="P878" s="19"/>
      <c r="R878" s="19"/>
    </row>
    <row r="879" spans="2:18">
      <c r="B879" s="19"/>
      <c r="G879" s="19"/>
      <c r="P879" s="19"/>
      <c r="R879" s="19"/>
    </row>
    <row r="880" spans="2:18">
      <c r="B880" s="19"/>
      <c r="G880" s="19"/>
      <c r="P880" s="19"/>
      <c r="R880" s="19"/>
    </row>
    <row r="881" spans="2:18">
      <c r="B881" s="19"/>
      <c r="G881" s="19"/>
      <c r="P881" s="19"/>
      <c r="R881" s="19"/>
    </row>
    <row r="882" spans="2:18">
      <c r="B882" s="19"/>
      <c r="G882" s="19"/>
      <c r="P882" s="19"/>
      <c r="R882" s="19"/>
    </row>
    <row r="883" spans="2:18">
      <c r="B883" s="19"/>
      <c r="G883" s="19"/>
      <c r="P883" s="19"/>
      <c r="R883" s="19"/>
    </row>
    <row r="884" spans="2:18">
      <c r="B884" s="19"/>
      <c r="G884" s="19"/>
      <c r="P884" s="19"/>
      <c r="R884" s="19"/>
    </row>
    <row r="885" spans="2:18">
      <c r="B885" s="19"/>
      <c r="G885" s="19"/>
      <c r="P885" s="19"/>
      <c r="R885" s="19"/>
    </row>
    <row r="886" spans="2:18">
      <c r="B886" s="19"/>
      <c r="G886" s="19"/>
      <c r="P886" s="19"/>
      <c r="R886" s="19"/>
    </row>
    <row r="887" spans="2:18">
      <c r="B887" s="19"/>
      <c r="G887" s="19"/>
      <c r="P887" s="19"/>
      <c r="R887" s="19"/>
    </row>
    <row r="888" spans="2:18">
      <c r="B888" s="19"/>
      <c r="G888" s="19"/>
      <c r="P888" s="19"/>
      <c r="R888" s="19"/>
    </row>
    <row r="889" spans="2:18">
      <c r="B889" s="19"/>
      <c r="G889" s="19"/>
      <c r="P889" s="19"/>
      <c r="R889" s="19"/>
    </row>
    <row r="890" spans="2:18">
      <c r="B890" s="19"/>
      <c r="G890" s="19"/>
      <c r="P890" s="19"/>
      <c r="R890" s="19"/>
    </row>
    <row r="891" spans="2:18">
      <c r="B891" s="19"/>
      <c r="G891" s="19"/>
      <c r="P891" s="19"/>
      <c r="R891" s="19"/>
    </row>
    <row r="892" spans="2:18">
      <c r="B892" s="19"/>
      <c r="G892" s="19"/>
      <c r="P892" s="19"/>
      <c r="R892" s="19"/>
    </row>
    <row r="893" spans="2:18">
      <c r="B893" s="19"/>
      <c r="G893" s="19"/>
      <c r="P893" s="19"/>
      <c r="R893" s="19"/>
    </row>
    <row r="894" spans="2:18">
      <c r="B894" s="19"/>
      <c r="G894" s="19"/>
      <c r="P894" s="19"/>
      <c r="R894" s="19"/>
    </row>
    <row r="895" spans="2:18">
      <c r="B895" s="19"/>
      <c r="G895" s="19"/>
      <c r="P895" s="19"/>
      <c r="R895" s="19"/>
    </row>
    <row r="896" spans="2:18">
      <c r="B896" s="19"/>
      <c r="G896" s="19"/>
      <c r="P896" s="19"/>
      <c r="R896" s="19"/>
    </row>
    <row r="897" spans="2:18">
      <c r="B897" s="19"/>
      <c r="G897" s="19"/>
      <c r="P897" s="19"/>
      <c r="R897" s="19"/>
    </row>
    <row r="898" spans="2:18">
      <c r="B898" s="19"/>
      <c r="G898" s="19"/>
      <c r="P898" s="19"/>
      <c r="R898" s="19"/>
    </row>
    <row r="899" spans="2:18">
      <c r="B899" s="19"/>
      <c r="G899" s="19"/>
      <c r="P899" s="19"/>
      <c r="R899" s="19"/>
    </row>
    <row r="900" spans="2:18">
      <c r="B900" s="19"/>
      <c r="G900" s="19"/>
      <c r="P900" s="19"/>
      <c r="R900" s="19"/>
    </row>
    <row r="901" spans="2:18">
      <c r="B901" s="19"/>
      <c r="G901" s="19"/>
      <c r="P901" s="19"/>
      <c r="R901" s="19"/>
    </row>
    <row r="902" spans="2:18">
      <c r="B902" s="19"/>
      <c r="G902" s="19"/>
      <c r="P902" s="19"/>
      <c r="R902" s="19"/>
    </row>
    <row r="903" spans="2:18">
      <c r="B903" s="19"/>
      <c r="G903" s="19"/>
      <c r="P903" s="19"/>
      <c r="R903" s="19"/>
    </row>
    <row r="904" spans="2:18">
      <c r="B904" s="19"/>
      <c r="G904" s="19"/>
      <c r="P904" s="19"/>
      <c r="R904" s="19"/>
    </row>
    <row r="905" spans="2:18">
      <c r="B905" s="19"/>
      <c r="G905" s="19"/>
      <c r="P905" s="19"/>
      <c r="R905" s="19"/>
    </row>
    <row r="906" spans="2:18">
      <c r="B906" s="19"/>
      <c r="G906" s="19"/>
      <c r="P906" s="19"/>
      <c r="R906" s="19"/>
    </row>
    <row r="907" spans="2:18">
      <c r="B907" s="19"/>
      <c r="G907" s="19"/>
      <c r="P907" s="19"/>
      <c r="R907" s="19"/>
    </row>
    <row r="908" spans="2:18">
      <c r="B908" s="19"/>
      <c r="G908" s="19"/>
      <c r="P908" s="19"/>
      <c r="R908" s="19"/>
    </row>
    <row r="909" spans="2:18">
      <c r="B909" s="19"/>
      <c r="G909" s="19"/>
      <c r="P909" s="19"/>
      <c r="R909" s="19"/>
    </row>
    <row r="910" spans="2:18">
      <c r="B910" s="19"/>
      <c r="G910" s="19"/>
      <c r="P910" s="19"/>
      <c r="R910" s="19"/>
    </row>
    <row r="911" spans="2:18">
      <c r="B911" s="19"/>
      <c r="G911" s="19"/>
      <c r="P911" s="19"/>
      <c r="R911" s="19"/>
    </row>
    <row r="912" spans="2:18">
      <c r="B912" s="19"/>
      <c r="G912" s="19"/>
      <c r="P912" s="19"/>
      <c r="R912" s="19"/>
    </row>
    <row r="913" spans="2:18">
      <c r="B913" s="19"/>
      <c r="G913" s="19"/>
      <c r="P913" s="19"/>
      <c r="R913" s="19"/>
    </row>
    <row r="914" spans="2:18">
      <c r="B914" s="19"/>
      <c r="G914" s="19"/>
      <c r="P914" s="19"/>
      <c r="R914" s="19"/>
    </row>
    <row r="915" spans="2:18">
      <c r="B915" s="19"/>
      <c r="G915" s="19"/>
      <c r="P915" s="19"/>
      <c r="R915" s="19"/>
    </row>
    <row r="916" spans="2:18">
      <c r="B916" s="19"/>
      <c r="G916" s="19"/>
      <c r="P916" s="19"/>
      <c r="R916" s="19"/>
    </row>
    <row r="917" spans="2:18">
      <c r="B917" s="19"/>
      <c r="G917" s="19"/>
      <c r="P917" s="19"/>
      <c r="R917" s="19"/>
    </row>
    <row r="918" spans="2:18">
      <c r="B918" s="19"/>
      <c r="G918" s="19"/>
      <c r="P918" s="19"/>
      <c r="R918" s="19"/>
    </row>
    <row r="919" spans="2:18">
      <c r="B919" s="19"/>
      <c r="G919" s="19"/>
      <c r="P919" s="19"/>
      <c r="R919" s="19"/>
    </row>
    <row r="920" spans="2:18">
      <c r="B920" s="19"/>
      <c r="G920" s="19"/>
      <c r="P920" s="19"/>
      <c r="R920" s="19"/>
    </row>
    <row r="921" spans="2:18">
      <c r="B921" s="19"/>
      <c r="G921" s="19"/>
      <c r="P921" s="19"/>
      <c r="R921" s="19"/>
    </row>
    <row r="922" spans="2:18">
      <c r="B922" s="19"/>
      <c r="G922" s="19"/>
      <c r="P922" s="19"/>
      <c r="R922" s="19"/>
    </row>
    <row r="923" spans="2:18">
      <c r="B923" s="19"/>
      <c r="G923" s="19"/>
      <c r="P923" s="19"/>
      <c r="R923" s="19"/>
    </row>
    <row r="924" spans="2:18">
      <c r="B924" s="19"/>
      <c r="G924" s="19"/>
      <c r="P924" s="19"/>
      <c r="R924" s="19"/>
    </row>
    <row r="925" spans="2:18">
      <c r="B925" s="19"/>
      <c r="G925" s="19"/>
      <c r="P925" s="19"/>
      <c r="R925" s="19"/>
    </row>
    <row r="926" spans="2:18">
      <c r="B926" s="19"/>
      <c r="G926" s="19"/>
      <c r="P926" s="19"/>
      <c r="R926" s="19"/>
    </row>
    <row r="927" spans="2:18">
      <c r="B927" s="19"/>
      <c r="G927" s="19"/>
      <c r="P927" s="19"/>
      <c r="R927" s="19"/>
    </row>
    <row r="928" spans="2:18">
      <c r="B928" s="19"/>
      <c r="G928" s="19"/>
      <c r="P928" s="19"/>
      <c r="R928" s="19"/>
    </row>
    <row r="929" spans="2:18">
      <c r="B929" s="19"/>
      <c r="G929" s="19"/>
      <c r="P929" s="19"/>
      <c r="R929" s="19"/>
    </row>
    <row r="930" spans="2:18">
      <c r="B930" s="19"/>
      <c r="G930" s="19"/>
      <c r="P930" s="19"/>
      <c r="R930" s="19"/>
    </row>
    <row r="931" spans="2:18">
      <c r="B931" s="19"/>
      <c r="G931" s="19"/>
      <c r="P931" s="19"/>
      <c r="R931" s="19"/>
    </row>
    <row r="932" spans="2:18">
      <c r="B932" s="19"/>
      <c r="G932" s="19"/>
      <c r="P932" s="19"/>
      <c r="R932" s="19"/>
    </row>
    <row r="933" spans="2:18">
      <c r="B933" s="19"/>
      <c r="G933" s="19"/>
      <c r="P933" s="19"/>
      <c r="R933" s="19"/>
    </row>
    <row r="934" spans="2:18">
      <c r="B934" s="19"/>
      <c r="G934" s="19"/>
      <c r="P934" s="19"/>
      <c r="R934" s="19"/>
    </row>
    <row r="935" spans="2:18">
      <c r="B935" s="19"/>
      <c r="G935" s="19"/>
      <c r="P935" s="19"/>
      <c r="R935" s="19"/>
    </row>
    <row r="936" spans="2:18">
      <c r="B936" s="19"/>
      <c r="G936" s="19"/>
      <c r="P936" s="19"/>
      <c r="R936" s="19"/>
    </row>
    <row r="937" spans="2:18">
      <c r="B937" s="19"/>
      <c r="G937" s="19"/>
      <c r="P937" s="19"/>
      <c r="R937" s="19"/>
    </row>
    <row r="938" spans="2:18">
      <c r="B938" s="19"/>
      <c r="G938" s="19"/>
      <c r="P938" s="19"/>
      <c r="R938" s="19"/>
    </row>
    <row r="939" spans="2:18">
      <c r="B939" s="19"/>
      <c r="G939" s="19"/>
      <c r="P939" s="19"/>
      <c r="R939" s="19"/>
    </row>
    <row r="940" spans="2:18">
      <c r="B940" s="19"/>
      <c r="G940" s="19"/>
      <c r="P940" s="19"/>
      <c r="R940" s="19"/>
    </row>
    <row r="941" spans="2:18">
      <c r="B941" s="19"/>
      <c r="G941" s="19"/>
      <c r="P941" s="19"/>
      <c r="R941" s="19"/>
    </row>
    <row r="942" spans="2:18">
      <c r="B942" s="19"/>
      <c r="G942" s="19"/>
      <c r="P942" s="19"/>
      <c r="R942" s="19"/>
    </row>
    <row r="943" spans="2:18">
      <c r="B943" s="19"/>
      <c r="G943" s="19"/>
      <c r="P943" s="19"/>
      <c r="R943" s="19"/>
    </row>
    <row r="944" spans="2:18">
      <c r="B944" s="19"/>
      <c r="G944" s="19"/>
      <c r="P944" s="19"/>
      <c r="R944" s="19"/>
    </row>
    <row r="945" spans="2:18">
      <c r="B945" s="19"/>
      <c r="G945" s="19"/>
      <c r="P945" s="19"/>
      <c r="R945" s="19"/>
    </row>
    <row r="946" spans="2:18">
      <c r="B946" s="19"/>
      <c r="G946" s="19"/>
      <c r="P946" s="19"/>
      <c r="R946" s="19"/>
    </row>
    <row r="947" spans="2:18">
      <c r="B947" s="19"/>
      <c r="G947" s="19"/>
      <c r="P947" s="19"/>
      <c r="R947" s="19"/>
    </row>
    <row r="948" spans="2:18">
      <c r="B948" s="19"/>
      <c r="G948" s="19"/>
      <c r="P948" s="19"/>
      <c r="R948" s="19"/>
    </row>
    <row r="949" spans="2:18">
      <c r="B949" s="19"/>
      <c r="G949" s="19"/>
      <c r="P949" s="19"/>
      <c r="R949" s="19"/>
    </row>
    <row r="950" spans="2:18">
      <c r="B950" s="19"/>
      <c r="G950" s="19"/>
      <c r="P950" s="19"/>
      <c r="R950" s="19"/>
    </row>
    <row r="951" spans="2:18">
      <c r="B951" s="19"/>
      <c r="G951" s="19"/>
      <c r="P951" s="19"/>
      <c r="R951" s="19"/>
    </row>
    <row r="952" spans="2:18">
      <c r="B952" s="19"/>
      <c r="G952" s="19"/>
      <c r="P952" s="19"/>
      <c r="R952" s="19"/>
    </row>
    <row r="953" spans="2:18">
      <c r="B953" s="19"/>
      <c r="G953" s="19"/>
      <c r="P953" s="19"/>
      <c r="R953" s="19"/>
    </row>
    <row r="954" spans="2:18">
      <c r="B954" s="19"/>
      <c r="G954" s="19"/>
      <c r="P954" s="19"/>
      <c r="R954" s="19"/>
    </row>
    <row r="955" spans="2:18">
      <c r="B955" s="19"/>
      <c r="G955" s="19"/>
      <c r="P955" s="19"/>
      <c r="R955" s="19"/>
    </row>
    <row r="956" spans="2:18">
      <c r="B956" s="19"/>
      <c r="G956" s="19"/>
      <c r="P956" s="19"/>
      <c r="R956" s="19"/>
    </row>
    <row r="957" spans="2:18">
      <c r="B957" s="19"/>
      <c r="G957" s="19"/>
      <c r="P957" s="19"/>
      <c r="R957" s="19"/>
    </row>
    <row r="958" spans="2:18">
      <c r="B958" s="19"/>
      <c r="G958" s="19"/>
      <c r="P958" s="19"/>
      <c r="R958" s="19"/>
    </row>
    <row r="959" spans="2:18">
      <c r="B959" s="19"/>
      <c r="G959" s="19"/>
      <c r="P959" s="19"/>
      <c r="R959" s="19"/>
    </row>
    <row r="960" spans="2:18">
      <c r="B960" s="19"/>
      <c r="G960" s="19"/>
      <c r="P960" s="19"/>
      <c r="R960" s="19"/>
    </row>
    <row r="961" spans="2:18">
      <c r="B961" s="19"/>
      <c r="G961" s="19"/>
      <c r="P961" s="19"/>
      <c r="R961" s="19"/>
    </row>
    <row r="962" spans="2:18">
      <c r="B962" s="19"/>
      <c r="G962" s="19"/>
      <c r="P962" s="19"/>
      <c r="R962" s="19"/>
    </row>
    <row r="963" spans="2:18">
      <c r="B963" s="19"/>
      <c r="G963" s="19"/>
      <c r="P963" s="19"/>
      <c r="R963" s="19"/>
    </row>
    <row r="964" spans="2:18">
      <c r="B964" s="19"/>
      <c r="G964" s="19"/>
      <c r="P964" s="19"/>
      <c r="R964" s="19"/>
    </row>
    <row r="965" spans="2:18">
      <c r="B965" s="19"/>
      <c r="G965" s="19"/>
      <c r="P965" s="19"/>
      <c r="R965" s="19"/>
    </row>
    <row r="966" spans="2:18">
      <c r="B966" s="19"/>
      <c r="G966" s="19"/>
      <c r="P966" s="19"/>
      <c r="R966" s="19"/>
    </row>
    <row r="967" spans="2:18">
      <c r="B967" s="19"/>
      <c r="G967" s="19"/>
      <c r="P967" s="19"/>
      <c r="R967" s="19"/>
    </row>
    <row r="968" spans="2:18">
      <c r="B968" s="19"/>
      <c r="G968" s="19"/>
      <c r="P968" s="19"/>
      <c r="R968" s="19"/>
    </row>
    <row r="969" spans="2:18">
      <c r="B969" s="19"/>
      <c r="G969" s="19"/>
      <c r="P969" s="19"/>
      <c r="R969" s="19"/>
    </row>
    <row r="970" spans="2:18">
      <c r="B970" s="19"/>
      <c r="G970" s="19"/>
      <c r="P970" s="19"/>
      <c r="R970" s="19"/>
    </row>
    <row r="971" spans="2:18">
      <c r="B971" s="19"/>
      <c r="G971" s="19"/>
      <c r="P971" s="19"/>
      <c r="R971" s="19"/>
    </row>
    <row r="972" spans="2:18">
      <c r="B972" s="19"/>
      <c r="G972" s="19"/>
      <c r="P972" s="19"/>
      <c r="R972" s="19"/>
    </row>
    <row r="973" spans="2:18">
      <c r="B973" s="19"/>
      <c r="G973" s="19"/>
      <c r="P973" s="19"/>
      <c r="R973" s="19"/>
    </row>
    <row r="974" spans="2:18">
      <c r="B974" s="19"/>
      <c r="G974" s="19"/>
      <c r="P974" s="19"/>
      <c r="R974" s="19"/>
    </row>
    <row r="975" spans="2:18">
      <c r="B975" s="19"/>
      <c r="G975" s="19"/>
      <c r="P975" s="19"/>
      <c r="R975" s="19"/>
    </row>
    <row r="976" spans="2:18">
      <c r="B976" s="19"/>
      <c r="G976" s="19"/>
      <c r="P976" s="19"/>
      <c r="R976" s="19"/>
    </row>
    <row r="977" spans="2:18">
      <c r="B977" s="19"/>
      <c r="G977" s="19"/>
      <c r="P977" s="19"/>
      <c r="R977" s="19"/>
    </row>
    <row r="978" spans="2:18">
      <c r="B978" s="19"/>
      <c r="G978" s="19"/>
      <c r="P978" s="19"/>
      <c r="R978" s="19"/>
    </row>
    <row r="979" spans="2:18">
      <c r="B979" s="19"/>
      <c r="G979" s="19"/>
      <c r="P979" s="19"/>
      <c r="R979" s="19"/>
    </row>
    <row r="980" spans="2:18">
      <c r="B980" s="19"/>
      <c r="G980" s="19"/>
      <c r="P980" s="19"/>
      <c r="R980" s="19"/>
    </row>
    <row r="981" spans="2:18">
      <c r="B981" s="19"/>
      <c r="G981" s="19"/>
      <c r="P981" s="19"/>
      <c r="R981" s="19"/>
    </row>
    <row r="982" spans="2:18">
      <c r="B982" s="19"/>
      <c r="G982" s="19"/>
      <c r="P982" s="19"/>
      <c r="R982" s="19"/>
    </row>
    <row r="983" spans="2:18">
      <c r="B983" s="19"/>
      <c r="G983" s="19"/>
      <c r="P983" s="19"/>
      <c r="R983" s="19"/>
    </row>
    <row r="984" spans="2:18">
      <c r="B984" s="19"/>
      <c r="G984" s="19"/>
      <c r="P984" s="19"/>
      <c r="R984" s="19"/>
    </row>
    <row r="985" spans="2:18">
      <c r="B985" s="19"/>
      <c r="G985" s="19"/>
      <c r="P985" s="19"/>
      <c r="R985" s="19"/>
    </row>
    <row r="986" spans="2:18">
      <c r="B986" s="19"/>
      <c r="G986" s="19"/>
      <c r="P986" s="19"/>
      <c r="R986" s="19"/>
    </row>
    <row r="987" spans="2:18">
      <c r="B987" s="19"/>
      <c r="G987" s="19"/>
      <c r="P987" s="19"/>
      <c r="R987" s="19"/>
    </row>
    <row r="988" spans="2:18">
      <c r="B988" s="19"/>
      <c r="G988" s="19"/>
      <c r="P988" s="19"/>
      <c r="R988" s="19"/>
    </row>
    <row r="989" spans="2:18">
      <c r="B989" s="19"/>
      <c r="G989" s="19"/>
      <c r="P989" s="19"/>
      <c r="R989" s="19"/>
    </row>
    <row r="990" spans="2:18">
      <c r="B990" s="19"/>
      <c r="G990" s="19"/>
      <c r="P990" s="19"/>
      <c r="R990" s="19"/>
    </row>
    <row r="991" spans="2:18">
      <c r="B991" s="19"/>
      <c r="G991" s="19"/>
      <c r="P991" s="19"/>
      <c r="R991" s="19"/>
    </row>
    <row r="992" spans="2:18">
      <c r="B992" s="19"/>
      <c r="G992" s="19"/>
      <c r="P992" s="19"/>
      <c r="R992" s="19"/>
    </row>
    <row r="993" spans="2:18">
      <c r="B993" s="19"/>
      <c r="G993" s="19"/>
      <c r="P993" s="19"/>
      <c r="R993" s="19"/>
    </row>
    <row r="994" spans="2:18">
      <c r="B994" s="19"/>
      <c r="G994" s="19"/>
      <c r="P994" s="19"/>
      <c r="R994" s="19"/>
    </row>
    <row r="995" spans="2:18">
      <c r="B995" s="19"/>
      <c r="G995" s="19"/>
      <c r="P995" s="19"/>
      <c r="R995" s="19"/>
    </row>
    <row r="996" spans="2:18">
      <c r="B996" s="19"/>
      <c r="G996" s="19"/>
      <c r="P996" s="19"/>
      <c r="R996" s="19"/>
    </row>
    <row r="997" spans="2:18">
      <c r="B997" s="19"/>
      <c r="G997" s="19"/>
      <c r="P997" s="19"/>
      <c r="R997" s="19"/>
    </row>
    <row r="998" spans="2:18">
      <c r="B998" s="19"/>
      <c r="G998" s="19"/>
      <c r="P998" s="19"/>
      <c r="R998" s="19"/>
    </row>
    <row r="999" spans="2:18">
      <c r="B999" s="19"/>
      <c r="G999" s="19"/>
      <c r="P999" s="19"/>
      <c r="R999" s="19"/>
    </row>
    <row r="1000" spans="2:18">
      <c r="B1000" s="19"/>
      <c r="G1000" s="19"/>
      <c r="P1000" s="19"/>
      <c r="R1000" s="19"/>
    </row>
    <row r="1001" spans="2:18">
      <c r="B1001" s="19"/>
      <c r="G1001" s="19"/>
      <c r="P1001" s="19"/>
      <c r="R1001" s="19"/>
    </row>
    <row r="1002" spans="2:18">
      <c r="B1002" s="19"/>
      <c r="G1002" s="19"/>
      <c r="P1002" s="19"/>
      <c r="R1002" s="19"/>
    </row>
    <row r="1003" spans="2:18">
      <c r="B1003" s="19"/>
      <c r="G1003" s="19"/>
      <c r="P1003" s="19"/>
      <c r="R1003" s="19"/>
    </row>
    <row r="1004" spans="2:18">
      <c r="B1004" s="19"/>
      <c r="G1004" s="19"/>
      <c r="P1004" s="19"/>
      <c r="R1004" s="19"/>
    </row>
    <row r="1005" spans="2:18">
      <c r="B1005" s="19"/>
      <c r="G1005" s="19"/>
      <c r="P1005" s="19"/>
      <c r="R1005" s="19"/>
    </row>
    <row r="1006" spans="2:18">
      <c r="B1006" s="19"/>
      <c r="G1006" s="19"/>
      <c r="P1006" s="19"/>
      <c r="R1006" s="19"/>
    </row>
    <row r="1007" spans="2:18">
      <c r="B1007" s="19"/>
      <c r="G1007" s="19"/>
      <c r="P1007" s="19"/>
      <c r="R1007" s="19"/>
    </row>
    <row r="1008" spans="2:18">
      <c r="B1008" s="19"/>
      <c r="G1008" s="19"/>
      <c r="P1008" s="19"/>
      <c r="R1008" s="19"/>
    </row>
    <row r="1009" spans="2:18">
      <c r="B1009" s="19"/>
      <c r="G1009" s="19"/>
      <c r="P1009" s="19"/>
      <c r="R1009" s="19"/>
    </row>
    <row r="1010" spans="2:18">
      <c r="B1010" s="19"/>
      <c r="G1010" s="19"/>
      <c r="P1010" s="19"/>
      <c r="R1010" s="19"/>
    </row>
    <row r="1011" spans="2:18">
      <c r="B1011" s="19"/>
      <c r="G1011" s="19"/>
      <c r="P1011" s="19"/>
      <c r="R1011" s="19"/>
    </row>
    <row r="1012" spans="2:18">
      <c r="B1012" s="19"/>
      <c r="G1012" s="19"/>
      <c r="P1012" s="19"/>
      <c r="R1012" s="19"/>
    </row>
    <row r="1013" spans="2:18">
      <c r="B1013" s="19"/>
      <c r="G1013" s="19"/>
      <c r="P1013" s="19"/>
      <c r="R1013" s="19"/>
    </row>
    <row r="1014" spans="2:18">
      <c r="B1014" s="19"/>
      <c r="G1014" s="19"/>
      <c r="P1014" s="19"/>
      <c r="R1014" s="19"/>
    </row>
    <row r="1015" spans="2:18">
      <c r="B1015" s="19"/>
      <c r="G1015" s="19"/>
      <c r="P1015" s="19"/>
      <c r="R1015" s="19"/>
    </row>
    <row r="1016" spans="2:18">
      <c r="B1016" s="19"/>
      <c r="G1016" s="19"/>
      <c r="P1016" s="19"/>
      <c r="R1016" s="19"/>
    </row>
    <row r="1017" spans="2:18">
      <c r="B1017" s="19"/>
      <c r="G1017" s="19"/>
      <c r="P1017" s="19"/>
      <c r="R1017" s="19"/>
    </row>
    <row r="1018" spans="2:18">
      <c r="B1018" s="19"/>
      <c r="G1018" s="19"/>
      <c r="P1018" s="19"/>
      <c r="R1018" s="19"/>
    </row>
    <row r="1019" spans="2:18">
      <c r="B1019" s="19"/>
      <c r="G1019" s="19"/>
      <c r="P1019" s="19"/>
      <c r="R1019" s="19"/>
    </row>
    <row r="1020" spans="2:18">
      <c r="B1020" s="19"/>
      <c r="G1020" s="19"/>
      <c r="P1020" s="19"/>
      <c r="R1020" s="19"/>
    </row>
    <row r="1021" spans="2:18">
      <c r="B1021" s="19"/>
      <c r="G1021" s="19"/>
      <c r="P1021" s="19"/>
      <c r="R1021" s="19"/>
    </row>
    <row r="1022" spans="2:18">
      <c r="B1022" s="19"/>
      <c r="G1022" s="19"/>
      <c r="P1022" s="19"/>
      <c r="R1022" s="19"/>
    </row>
    <row r="1023" spans="2:18">
      <c r="B1023" s="19"/>
      <c r="G1023" s="19"/>
      <c r="P1023" s="19"/>
      <c r="R1023" s="19"/>
    </row>
    <row r="1024" spans="2:18">
      <c r="B1024" s="19"/>
      <c r="G1024" s="19"/>
      <c r="P1024" s="19"/>
      <c r="R1024" s="19"/>
    </row>
    <row r="1025" spans="2:18">
      <c r="B1025" s="19"/>
      <c r="G1025" s="19"/>
      <c r="P1025" s="19"/>
      <c r="R1025" s="19"/>
    </row>
    <row r="1026" spans="2:18">
      <c r="B1026" s="19"/>
      <c r="G1026" s="19"/>
      <c r="P1026" s="19"/>
      <c r="R1026" s="19"/>
    </row>
    <row r="1027" spans="2:18">
      <c r="B1027" s="19"/>
      <c r="G1027" s="19"/>
      <c r="P1027" s="19"/>
      <c r="R1027" s="19"/>
    </row>
    <row r="1028" spans="2:18">
      <c r="B1028" s="19"/>
      <c r="G1028" s="19"/>
      <c r="P1028" s="19"/>
      <c r="R1028" s="19"/>
    </row>
    <row r="1029" spans="2:18">
      <c r="B1029" s="19"/>
      <c r="G1029" s="19"/>
      <c r="P1029" s="19"/>
      <c r="R1029" s="19"/>
    </row>
    <row r="1030" spans="2:18">
      <c r="B1030" s="19"/>
      <c r="G1030" s="19"/>
      <c r="P1030" s="19"/>
      <c r="R1030" s="19"/>
    </row>
    <row r="1031" spans="2:18">
      <c r="B1031" s="19"/>
      <c r="G1031" s="19"/>
      <c r="P1031" s="19"/>
      <c r="R1031" s="19"/>
    </row>
    <row r="1032" spans="2:18">
      <c r="B1032" s="19"/>
      <c r="G1032" s="19"/>
      <c r="P1032" s="19"/>
      <c r="R1032" s="19"/>
    </row>
    <row r="1033" spans="2:18">
      <c r="B1033" s="19"/>
      <c r="G1033" s="19"/>
      <c r="P1033" s="19"/>
      <c r="R1033" s="19"/>
    </row>
    <row r="1034" spans="2:18">
      <c r="B1034" s="19"/>
      <c r="G1034" s="19"/>
      <c r="P1034" s="19"/>
      <c r="R1034" s="19"/>
    </row>
    <row r="1035" spans="2:18">
      <c r="B1035" s="19"/>
      <c r="G1035" s="19"/>
      <c r="P1035" s="19"/>
      <c r="R1035" s="19"/>
    </row>
    <row r="1036" spans="2:18">
      <c r="B1036" s="19"/>
      <c r="G1036" s="19"/>
      <c r="P1036" s="19"/>
      <c r="R1036" s="19"/>
    </row>
    <row r="1037" spans="2:18">
      <c r="B1037" s="19"/>
      <c r="G1037" s="19"/>
      <c r="P1037" s="19"/>
      <c r="R1037" s="19"/>
    </row>
    <row r="1038" spans="2:18">
      <c r="B1038" s="19"/>
      <c r="G1038" s="19"/>
      <c r="P1038" s="19"/>
      <c r="R1038" s="19"/>
    </row>
    <row r="1039" spans="2:18">
      <c r="B1039" s="19"/>
      <c r="G1039" s="19"/>
      <c r="P1039" s="19"/>
      <c r="R1039" s="19"/>
    </row>
    <row r="1040" spans="2:18">
      <c r="B1040" s="19"/>
      <c r="G1040" s="19"/>
      <c r="P1040" s="19"/>
      <c r="R1040" s="19"/>
    </row>
    <row r="1041" spans="2:18">
      <c r="B1041" s="19"/>
      <c r="G1041" s="19"/>
      <c r="P1041" s="19"/>
      <c r="R1041" s="19"/>
    </row>
    <row r="1042" spans="2:18">
      <c r="B1042" s="19"/>
      <c r="G1042" s="19"/>
      <c r="P1042" s="19"/>
      <c r="R1042" s="19"/>
    </row>
    <row r="1043" spans="2:18">
      <c r="B1043" s="19"/>
      <c r="G1043" s="19"/>
      <c r="P1043" s="19"/>
      <c r="R1043" s="19"/>
    </row>
    <row r="1044" spans="2:18">
      <c r="B1044" s="19"/>
      <c r="G1044" s="19"/>
      <c r="P1044" s="19"/>
      <c r="R1044" s="19"/>
    </row>
    <row r="1045" spans="2:18">
      <c r="B1045" s="19"/>
      <c r="G1045" s="19"/>
      <c r="P1045" s="19"/>
      <c r="R1045" s="19"/>
    </row>
    <row r="1046" spans="2:18">
      <c r="B1046" s="19"/>
      <c r="G1046" s="19"/>
      <c r="P1046" s="19"/>
      <c r="R1046" s="19"/>
    </row>
    <row r="1047" spans="2:18">
      <c r="B1047" s="19"/>
      <c r="G1047" s="19"/>
      <c r="P1047" s="19"/>
      <c r="R1047" s="19"/>
    </row>
    <row r="1048" spans="2:18">
      <c r="B1048" s="19"/>
      <c r="G1048" s="19"/>
      <c r="P1048" s="19"/>
      <c r="R1048" s="19"/>
    </row>
    <row r="1049" spans="2:18">
      <c r="B1049" s="19"/>
      <c r="G1049" s="19"/>
      <c r="P1049" s="19"/>
      <c r="R1049" s="19"/>
    </row>
    <row r="1050" spans="2:18">
      <c r="B1050" s="19"/>
      <c r="G1050" s="19"/>
      <c r="P1050" s="19"/>
      <c r="R1050" s="19"/>
    </row>
    <row r="1051" spans="2:18">
      <c r="B1051" s="19"/>
      <c r="G1051" s="19"/>
      <c r="P1051" s="19"/>
      <c r="R1051" s="19"/>
    </row>
    <row r="1052" spans="2:18">
      <c r="B1052" s="19"/>
      <c r="G1052" s="19"/>
      <c r="P1052" s="19"/>
      <c r="R1052" s="19"/>
    </row>
    <row r="1053" spans="2:18">
      <c r="B1053" s="19"/>
      <c r="G1053" s="19"/>
      <c r="P1053" s="19"/>
      <c r="R1053" s="19"/>
    </row>
    <row r="1054" spans="2:18">
      <c r="B1054" s="19"/>
      <c r="G1054" s="19"/>
      <c r="P1054" s="19"/>
      <c r="R1054" s="19"/>
    </row>
    <row r="1055" spans="2:18">
      <c r="B1055" s="19"/>
      <c r="G1055" s="19"/>
      <c r="P1055" s="19"/>
      <c r="R1055" s="19"/>
    </row>
    <row r="1056" spans="2:18">
      <c r="B1056" s="19"/>
      <c r="G1056" s="19"/>
      <c r="P1056" s="19"/>
      <c r="R1056" s="19"/>
    </row>
    <row r="1057" spans="2:18">
      <c r="B1057" s="19"/>
      <c r="G1057" s="19"/>
      <c r="P1057" s="19"/>
      <c r="R1057" s="19"/>
    </row>
    <row r="1058" spans="2:18">
      <c r="B1058" s="19"/>
      <c r="G1058" s="19"/>
      <c r="P1058" s="19"/>
      <c r="R1058" s="19"/>
    </row>
    <row r="1059" spans="2:18">
      <c r="B1059" s="19"/>
      <c r="G1059" s="19"/>
      <c r="P1059" s="19"/>
      <c r="R1059" s="19"/>
    </row>
    <row r="1060" spans="2:18">
      <c r="B1060" s="19"/>
      <c r="G1060" s="19"/>
      <c r="P1060" s="19"/>
      <c r="R1060" s="19"/>
    </row>
    <row r="1061" spans="2:18">
      <c r="B1061" s="19"/>
      <c r="G1061" s="19"/>
      <c r="P1061" s="19"/>
      <c r="R1061" s="19"/>
    </row>
    <row r="1062" spans="2:18">
      <c r="B1062" s="19"/>
      <c r="G1062" s="19"/>
      <c r="P1062" s="19"/>
      <c r="R1062" s="19"/>
    </row>
    <row r="1063" spans="2:18">
      <c r="B1063" s="19"/>
      <c r="G1063" s="19"/>
      <c r="P1063" s="19"/>
      <c r="R1063" s="19"/>
    </row>
    <row r="1064" spans="2:18">
      <c r="B1064" s="19"/>
      <c r="G1064" s="19"/>
      <c r="P1064" s="19"/>
      <c r="R1064" s="19"/>
    </row>
    <row r="1065" spans="2:18">
      <c r="B1065" s="19"/>
      <c r="G1065" s="19"/>
      <c r="P1065" s="19"/>
      <c r="R1065" s="19"/>
    </row>
    <row r="1066" spans="2:18">
      <c r="B1066" s="19"/>
      <c r="G1066" s="19"/>
      <c r="P1066" s="19"/>
      <c r="R1066" s="19"/>
    </row>
    <row r="1067" spans="2:18">
      <c r="B1067" s="19"/>
      <c r="G1067" s="19"/>
      <c r="P1067" s="19"/>
      <c r="R1067" s="19"/>
    </row>
    <row r="1068" spans="2:18">
      <c r="B1068" s="19"/>
      <c r="G1068" s="19"/>
      <c r="P1068" s="19"/>
      <c r="R1068" s="19"/>
    </row>
    <row r="1069" spans="2:18">
      <c r="B1069" s="19"/>
      <c r="G1069" s="19"/>
      <c r="P1069" s="19"/>
      <c r="R1069" s="19"/>
    </row>
    <row r="1070" spans="2:18">
      <c r="B1070" s="19"/>
      <c r="G1070" s="19"/>
      <c r="P1070" s="19"/>
      <c r="R1070" s="19"/>
    </row>
    <row r="1071" spans="2:18">
      <c r="B1071" s="19"/>
      <c r="G1071" s="19"/>
      <c r="P1071" s="19"/>
      <c r="R1071" s="19"/>
    </row>
    <row r="1072" spans="2:18">
      <c r="B1072" s="19"/>
      <c r="G1072" s="19"/>
      <c r="P1072" s="19"/>
      <c r="R1072" s="19"/>
    </row>
    <row r="1073" spans="2:18">
      <c r="B1073" s="19"/>
      <c r="G1073" s="19"/>
      <c r="P1073" s="19"/>
      <c r="R1073" s="19"/>
    </row>
    <row r="1074" spans="2:18">
      <c r="B1074" s="19"/>
      <c r="G1074" s="19"/>
      <c r="P1074" s="19"/>
      <c r="R1074" s="19"/>
    </row>
    <row r="1075" spans="2:18">
      <c r="B1075" s="19"/>
      <c r="G1075" s="19"/>
      <c r="P1075" s="19"/>
      <c r="R1075" s="19"/>
    </row>
    <row r="1076" spans="2:18">
      <c r="B1076" s="19"/>
      <c r="G1076" s="19"/>
      <c r="P1076" s="19"/>
      <c r="R1076" s="19"/>
    </row>
    <row r="1077" spans="2:18">
      <c r="B1077" s="19"/>
      <c r="G1077" s="19"/>
      <c r="P1077" s="19"/>
      <c r="R1077" s="19"/>
    </row>
    <row r="1078" spans="2:18">
      <c r="B1078" s="19"/>
      <c r="G1078" s="19"/>
      <c r="P1078" s="19"/>
      <c r="R1078" s="19"/>
    </row>
    <row r="1079" spans="2:18">
      <c r="B1079" s="19"/>
      <c r="G1079" s="19"/>
      <c r="P1079" s="19"/>
      <c r="R1079" s="19"/>
    </row>
    <row r="1080" spans="2:18">
      <c r="B1080" s="19"/>
      <c r="G1080" s="19"/>
      <c r="P1080" s="19"/>
      <c r="R1080" s="19"/>
    </row>
    <row r="1081" spans="2:18">
      <c r="B1081" s="19"/>
      <c r="G1081" s="19"/>
      <c r="P1081" s="19"/>
      <c r="R1081" s="19"/>
    </row>
    <row r="1082" spans="2:18">
      <c r="B1082" s="19"/>
      <c r="G1082" s="19"/>
      <c r="P1082" s="19"/>
      <c r="R1082" s="19"/>
    </row>
    <row r="1083" spans="2:18">
      <c r="B1083" s="19"/>
      <c r="G1083" s="19"/>
      <c r="P1083" s="19"/>
      <c r="R1083" s="19"/>
    </row>
    <row r="1084" spans="2:18">
      <c r="B1084" s="19"/>
      <c r="G1084" s="19"/>
      <c r="P1084" s="19"/>
      <c r="R1084" s="19"/>
    </row>
    <row r="1085" spans="2:18">
      <c r="B1085" s="19"/>
      <c r="G1085" s="19"/>
      <c r="P1085" s="19"/>
      <c r="R1085" s="19"/>
    </row>
    <row r="1086" spans="2:18">
      <c r="B1086" s="19"/>
      <c r="G1086" s="19"/>
      <c r="P1086" s="19"/>
      <c r="R1086" s="19"/>
    </row>
    <row r="1087" spans="2:18">
      <c r="B1087" s="19"/>
      <c r="G1087" s="19"/>
      <c r="P1087" s="19"/>
      <c r="R1087" s="19"/>
    </row>
    <row r="1088" spans="2:18">
      <c r="B1088" s="19"/>
      <c r="G1088" s="19"/>
      <c r="P1088" s="19"/>
      <c r="R1088" s="19"/>
    </row>
    <row r="1089" spans="2:18">
      <c r="B1089" s="19"/>
      <c r="G1089" s="19"/>
      <c r="P1089" s="19"/>
      <c r="R1089" s="19"/>
    </row>
    <row r="1090" spans="2:18">
      <c r="B1090" s="19"/>
      <c r="G1090" s="19"/>
      <c r="P1090" s="19"/>
      <c r="R1090" s="19"/>
    </row>
    <row r="1091" spans="2:18">
      <c r="B1091" s="19"/>
      <c r="G1091" s="19"/>
      <c r="P1091" s="19"/>
      <c r="R1091" s="19"/>
    </row>
    <row r="1092" spans="2:18">
      <c r="B1092" s="19"/>
      <c r="G1092" s="19"/>
      <c r="P1092" s="19"/>
      <c r="R1092" s="19"/>
    </row>
    <row r="1093" spans="2:18">
      <c r="B1093" s="19"/>
      <c r="G1093" s="19"/>
      <c r="P1093" s="19"/>
      <c r="R1093" s="19"/>
    </row>
    <row r="1094" spans="2:18">
      <c r="B1094" s="19"/>
      <c r="G1094" s="19"/>
      <c r="P1094" s="19"/>
      <c r="R1094" s="19"/>
    </row>
    <row r="1095" spans="2:18">
      <c r="B1095" s="19"/>
      <c r="G1095" s="19"/>
      <c r="P1095" s="19"/>
      <c r="R1095" s="19"/>
    </row>
    <row r="1096" spans="2:18">
      <c r="B1096" s="19"/>
      <c r="G1096" s="19"/>
      <c r="P1096" s="19"/>
      <c r="R1096" s="19"/>
    </row>
    <row r="1097" spans="2:18">
      <c r="B1097" s="19"/>
      <c r="G1097" s="19"/>
      <c r="P1097" s="19"/>
      <c r="R1097" s="19"/>
    </row>
    <row r="1098" spans="2:18">
      <c r="B1098" s="19"/>
      <c r="G1098" s="19"/>
      <c r="P1098" s="19"/>
      <c r="R1098" s="19"/>
    </row>
    <row r="1099" spans="2:18">
      <c r="B1099" s="19"/>
      <c r="G1099" s="19"/>
      <c r="P1099" s="19"/>
      <c r="R1099" s="19"/>
    </row>
    <row r="1100" spans="2:18">
      <c r="B1100" s="19"/>
      <c r="G1100" s="19"/>
      <c r="P1100" s="19"/>
      <c r="R1100" s="19"/>
    </row>
    <row r="1101" spans="2:18">
      <c r="B1101" s="19"/>
      <c r="G1101" s="19"/>
      <c r="P1101" s="19"/>
      <c r="R1101" s="19"/>
    </row>
    <row r="1102" spans="2:18">
      <c r="B1102" s="19"/>
      <c r="G1102" s="19"/>
      <c r="P1102" s="19"/>
      <c r="R1102" s="19"/>
    </row>
    <row r="1103" spans="2:18">
      <c r="B1103" s="19"/>
      <c r="G1103" s="19"/>
      <c r="P1103" s="19"/>
      <c r="R1103" s="19"/>
    </row>
    <row r="1104" spans="2:18">
      <c r="B1104" s="19"/>
      <c r="G1104" s="19"/>
      <c r="P1104" s="19"/>
      <c r="R1104" s="19"/>
    </row>
    <row r="1105" spans="2:18">
      <c r="B1105" s="19"/>
      <c r="G1105" s="19"/>
      <c r="P1105" s="19"/>
      <c r="R1105" s="19"/>
    </row>
    <row r="1106" spans="2:18">
      <c r="B1106" s="19"/>
      <c r="G1106" s="19"/>
      <c r="P1106" s="19"/>
      <c r="R1106" s="19"/>
    </row>
    <row r="1107" spans="2:18">
      <c r="B1107" s="19"/>
      <c r="G1107" s="19"/>
      <c r="P1107" s="19"/>
      <c r="R1107" s="19"/>
    </row>
    <row r="1108" spans="2:18">
      <c r="B1108" s="19"/>
      <c r="G1108" s="19"/>
      <c r="P1108" s="19"/>
      <c r="R1108" s="19"/>
    </row>
    <row r="1109" spans="2:18">
      <c r="B1109" s="19"/>
      <c r="G1109" s="19"/>
      <c r="P1109" s="19"/>
      <c r="R1109" s="19"/>
    </row>
    <row r="1110" spans="2:18">
      <c r="B1110" s="19"/>
      <c r="G1110" s="19"/>
      <c r="P1110" s="19"/>
      <c r="R1110" s="19"/>
    </row>
    <row r="1111" spans="2:18">
      <c r="B1111" s="19"/>
      <c r="G1111" s="19"/>
      <c r="P1111" s="19"/>
      <c r="R1111" s="19"/>
    </row>
    <row r="1112" spans="2:18">
      <c r="B1112" s="19"/>
      <c r="G1112" s="19"/>
      <c r="P1112" s="19"/>
      <c r="R1112" s="19"/>
    </row>
    <row r="1113" spans="2:18">
      <c r="B1113" s="19"/>
      <c r="G1113" s="19"/>
      <c r="P1113" s="19"/>
      <c r="R1113" s="19"/>
    </row>
    <row r="1114" spans="2:18">
      <c r="B1114" s="19"/>
      <c r="G1114" s="19"/>
      <c r="P1114" s="19"/>
      <c r="R1114" s="19"/>
    </row>
    <row r="1115" spans="2:18">
      <c r="B1115" s="19"/>
      <c r="G1115" s="19"/>
      <c r="P1115" s="19"/>
      <c r="R1115" s="19"/>
    </row>
    <row r="1116" spans="2:18">
      <c r="B1116" s="19"/>
      <c r="G1116" s="19"/>
      <c r="P1116" s="19"/>
      <c r="R1116" s="19"/>
    </row>
    <row r="1117" spans="2:18">
      <c r="B1117" s="19"/>
      <c r="G1117" s="19"/>
      <c r="P1117" s="19"/>
      <c r="R1117" s="19"/>
    </row>
    <row r="1118" spans="2:18">
      <c r="B1118" s="19"/>
      <c r="G1118" s="19"/>
      <c r="P1118" s="19"/>
      <c r="R1118" s="19"/>
    </row>
    <row r="1119" spans="2:18">
      <c r="B1119" s="19"/>
      <c r="G1119" s="19"/>
      <c r="P1119" s="19"/>
      <c r="R1119" s="19"/>
    </row>
    <row r="1120" spans="2:18">
      <c r="B1120" s="19"/>
      <c r="G1120" s="19"/>
      <c r="P1120" s="19"/>
      <c r="R1120" s="19"/>
    </row>
    <row r="1121" spans="2:18">
      <c r="B1121" s="19"/>
      <c r="G1121" s="19"/>
      <c r="P1121" s="19"/>
      <c r="R1121" s="19"/>
    </row>
    <row r="1122" spans="2:18">
      <c r="B1122" s="19"/>
      <c r="G1122" s="19"/>
      <c r="P1122" s="19"/>
      <c r="R1122" s="19"/>
    </row>
    <row r="1123" spans="2:18">
      <c r="B1123" s="19"/>
      <c r="G1123" s="19"/>
      <c r="P1123" s="19"/>
      <c r="R1123" s="19"/>
    </row>
    <row r="1124" spans="2:18">
      <c r="B1124" s="19"/>
      <c r="G1124" s="19"/>
      <c r="P1124" s="19"/>
      <c r="R1124" s="19"/>
    </row>
    <row r="1125" spans="2:18">
      <c r="B1125" s="19"/>
      <c r="G1125" s="19"/>
      <c r="P1125" s="19"/>
      <c r="R1125" s="19"/>
    </row>
    <row r="1126" spans="2:18">
      <c r="B1126" s="19"/>
      <c r="G1126" s="19"/>
      <c r="P1126" s="19"/>
      <c r="R1126" s="19"/>
    </row>
    <row r="1127" spans="2:18">
      <c r="B1127" s="19"/>
      <c r="G1127" s="19"/>
      <c r="P1127" s="19"/>
      <c r="R1127" s="19"/>
    </row>
    <row r="1128" spans="2:18">
      <c r="B1128" s="19"/>
      <c r="G1128" s="19"/>
      <c r="P1128" s="19"/>
      <c r="R1128" s="19"/>
    </row>
    <row r="1129" spans="2:18">
      <c r="B1129" s="19"/>
      <c r="G1129" s="19"/>
      <c r="P1129" s="19"/>
      <c r="R1129" s="19"/>
    </row>
    <row r="1130" spans="2:18">
      <c r="B1130" s="19"/>
      <c r="G1130" s="19"/>
      <c r="P1130" s="19"/>
      <c r="R1130" s="19"/>
    </row>
    <row r="1131" spans="2:18">
      <c r="B1131" s="19"/>
      <c r="G1131" s="19"/>
      <c r="P1131" s="19"/>
      <c r="R1131" s="19"/>
    </row>
    <row r="1132" spans="2:18">
      <c r="B1132" s="19"/>
      <c r="G1132" s="19"/>
      <c r="P1132" s="19"/>
      <c r="R1132" s="19"/>
    </row>
    <row r="1133" spans="2:18">
      <c r="B1133" s="19"/>
      <c r="G1133" s="19"/>
      <c r="P1133" s="19"/>
      <c r="R1133" s="19"/>
    </row>
    <row r="1134" spans="2:18">
      <c r="B1134" s="19"/>
      <c r="G1134" s="19"/>
      <c r="P1134" s="19"/>
      <c r="R1134" s="19"/>
    </row>
    <row r="1135" spans="2:18">
      <c r="B1135" s="19"/>
      <c r="G1135" s="19"/>
      <c r="P1135" s="19"/>
      <c r="R1135" s="19"/>
    </row>
    <row r="1136" spans="2:18">
      <c r="B1136" s="19"/>
      <c r="G1136" s="19"/>
      <c r="P1136" s="19"/>
      <c r="R1136" s="19"/>
    </row>
    <row r="1137" spans="2:18">
      <c r="B1137" s="19"/>
      <c r="G1137" s="19"/>
      <c r="P1137" s="19"/>
      <c r="R1137" s="19"/>
    </row>
    <row r="1138" spans="2:18">
      <c r="B1138" s="19"/>
      <c r="G1138" s="19"/>
      <c r="P1138" s="19"/>
      <c r="R1138" s="19"/>
    </row>
    <row r="1139" spans="2:18">
      <c r="B1139" s="19"/>
      <c r="G1139" s="19"/>
      <c r="P1139" s="19"/>
      <c r="R1139" s="19"/>
    </row>
    <row r="1140" spans="2:18">
      <c r="B1140" s="19"/>
      <c r="G1140" s="19"/>
      <c r="P1140" s="19"/>
      <c r="R1140" s="19"/>
    </row>
    <row r="1141" spans="2:18">
      <c r="B1141" s="19"/>
      <c r="G1141" s="19"/>
      <c r="P1141" s="19"/>
      <c r="R1141" s="19"/>
    </row>
    <row r="1142" spans="2:18">
      <c r="B1142" s="19"/>
      <c r="G1142" s="19"/>
      <c r="P1142" s="19"/>
      <c r="R1142" s="19"/>
    </row>
    <row r="1143" spans="2:18">
      <c r="B1143" s="19"/>
      <c r="G1143" s="19"/>
      <c r="P1143" s="19"/>
      <c r="R1143" s="19"/>
    </row>
    <row r="1144" spans="2:18">
      <c r="B1144" s="19"/>
      <c r="G1144" s="19"/>
      <c r="P1144" s="19"/>
      <c r="R1144" s="19"/>
    </row>
    <row r="1145" spans="2:18">
      <c r="B1145" s="19"/>
      <c r="G1145" s="19"/>
      <c r="P1145" s="19"/>
      <c r="R1145" s="19"/>
    </row>
    <row r="1146" spans="2:18">
      <c r="B1146" s="19"/>
      <c r="G1146" s="19"/>
      <c r="P1146" s="19"/>
      <c r="R1146" s="19"/>
    </row>
    <row r="1147" spans="2:18">
      <c r="B1147" s="19"/>
      <c r="G1147" s="19"/>
      <c r="P1147" s="19"/>
      <c r="R1147" s="19"/>
    </row>
    <row r="1148" spans="2:18">
      <c r="B1148" s="19"/>
      <c r="G1148" s="19"/>
      <c r="P1148" s="19"/>
      <c r="R1148" s="19"/>
    </row>
    <row r="1149" spans="2:18">
      <c r="B1149" s="19"/>
      <c r="G1149" s="19"/>
      <c r="P1149" s="19"/>
      <c r="R1149" s="19"/>
    </row>
    <row r="1150" spans="2:18">
      <c r="B1150" s="19"/>
      <c r="G1150" s="19"/>
      <c r="P1150" s="19"/>
      <c r="R1150" s="19"/>
    </row>
    <row r="1151" spans="2:18">
      <c r="B1151" s="19"/>
      <c r="G1151" s="19"/>
      <c r="P1151" s="19"/>
      <c r="R1151" s="19"/>
    </row>
    <row r="1152" spans="2:18">
      <c r="B1152" s="19"/>
      <c r="G1152" s="19"/>
      <c r="P1152" s="19"/>
      <c r="R1152" s="19"/>
    </row>
    <row r="1153" spans="2:18">
      <c r="B1153" s="19"/>
      <c r="G1153" s="19"/>
      <c r="P1153" s="19"/>
      <c r="R1153" s="19"/>
    </row>
    <row r="1154" spans="2:18">
      <c r="B1154" s="19"/>
      <c r="G1154" s="19"/>
      <c r="P1154" s="19"/>
      <c r="R1154" s="19"/>
    </row>
    <row r="1155" spans="2:18">
      <c r="B1155" s="19"/>
      <c r="G1155" s="19"/>
      <c r="P1155" s="19"/>
      <c r="R1155" s="19"/>
    </row>
    <row r="1156" spans="2:18">
      <c r="B1156" s="19"/>
      <c r="G1156" s="19"/>
      <c r="P1156" s="19"/>
      <c r="R1156" s="19"/>
    </row>
    <row r="1157" spans="2:18">
      <c r="B1157" s="19"/>
      <c r="G1157" s="19"/>
      <c r="P1157" s="19"/>
      <c r="R1157" s="19"/>
    </row>
    <row r="1158" spans="2:18">
      <c r="B1158" s="19"/>
      <c r="G1158" s="19"/>
      <c r="P1158" s="19"/>
      <c r="R1158" s="19"/>
    </row>
    <row r="1159" spans="2:18">
      <c r="B1159" s="19"/>
      <c r="G1159" s="19"/>
      <c r="P1159" s="19"/>
      <c r="R1159" s="19"/>
    </row>
    <row r="1160" spans="2:18">
      <c r="B1160" s="19"/>
      <c r="G1160" s="19"/>
      <c r="P1160" s="19"/>
      <c r="R1160" s="19"/>
    </row>
    <row r="1161" spans="2:18">
      <c r="B1161" s="19"/>
      <c r="G1161" s="19"/>
      <c r="P1161" s="19"/>
      <c r="R1161" s="19"/>
    </row>
    <row r="1162" spans="2:18">
      <c r="B1162" s="19"/>
      <c r="G1162" s="19"/>
      <c r="P1162" s="19"/>
      <c r="R1162" s="19"/>
    </row>
    <row r="1163" spans="2:18">
      <c r="B1163" s="19"/>
      <c r="G1163" s="19"/>
      <c r="P1163" s="19"/>
      <c r="R1163" s="19"/>
    </row>
    <row r="1164" spans="2:18">
      <c r="B1164" s="19"/>
      <c r="G1164" s="19"/>
      <c r="P1164" s="19"/>
      <c r="R1164" s="19"/>
    </row>
    <row r="1165" spans="2:18">
      <c r="B1165" s="19"/>
      <c r="G1165" s="19"/>
      <c r="P1165" s="19"/>
      <c r="R1165" s="19"/>
    </row>
    <row r="1166" spans="2:18">
      <c r="B1166" s="19"/>
      <c r="G1166" s="19"/>
      <c r="P1166" s="19"/>
      <c r="R1166" s="19"/>
    </row>
    <row r="1167" spans="2:18">
      <c r="B1167" s="19"/>
      <c r="G1167" s="19"/>
      <c r="P1167" s="19"/>
      <c r="R1167" s="19"/>
    </row>
    <row r="1168" spans="2:18">
      <c r="B1168" s="19"/>
      <c r="G1168" s="19"/>
      <c r="P1168" s="19"/>
      <c r="R1168" s="19"/>
    </row>
    <row r="1169" spans="2:18">
      <c r="B1169" s="19"/>
      <c r="G1169" s="19"/>
      <c r="P1169" s="19"/>
      <c r="R1169" s="19"/>
    </row>
    <row r="1170" spans="2:18">
      <c r="B1170" s="19"/>
      <c r="G1170" s="19"/>
      <c r="P1170" s="19"/>
      <c r="R1170" s="19"/>
    </row>
    <row r="1171" spans="2:18">
      <c r="B1171" s="19"/>
      <c r="G1171" s="19"/>
      <c r="P1171" s="19"/>
      <c r="R1171" s="19"/>
    </row>
    <row r="1172" spans="2:18">
      <c r="B1172" s="19"/>
      <c r="G1172" s="19"/>
      <c r="P1172" s="19"/>
      <c r="R1172" s="19"/>
    </row>
    <row r="1173" spans="2:18">
      <c r="B1173" s="19"/>
      <c r="G1173" s="19"/>
      <c r="P1173" s="19"/>
      <c r="R1173" s="19"/>
    </row>
    <row r="1174" spans="2:18">
      <c r="B1174" s="19"/>
      <c r="G1174" s="19"/>
      <c r="P1174" s="19"/>
      <c r="R1174" s="19"/>
    </row>
    <row r="1175" spans="2:18">
      <c r="B1175" s="19"/>
      <c r="G1175" s="19"/>
      <c r="P1175" s="19"/>
      <c r="R1175" s="19"/>
    </row>
    <row r="1176" spans="2:18">
      <c r="B1176" s="19"/>
      <c r="G1176" s="19"/>
      <c r="P1176" s="19"/>
      <c r="R1176" s="19"/>
    </row>
    <row r="1177" spans="2:18">
      <c r="B1177" s="19"/>
      <c r="G1177" s="19"/>
      <c r="P1177" s="19"/>
      <c r="R1177" s="19"/>
    </row>
    <row r="1178" spans="2:18">
      <c r="B1178" s="19"/>
      <c r="G1178" s="19"/>
      <c r="P1178" s="19"/>
      <c r="R1178" s="19"/>
    </row>
    <row r="1179" spans="2:18">
      <c r="B1179" s="19"/>
      <c r="G1179" s="19"/>
      <c r="P1179" s="19"/>
      <c r="R1179" s="19"/>
    </row>
    <row r="1180" spans="2:18">
      <c r="B1180" s="19"/>
      <c r="G1180" s="19"/>
      <c r="P1180" s="19"/>
      <c r="R1180" s="19"/>
    </row>
    <row r="1181" spans="2:18">
      <c r="B1181" s="19"/>
      <c r="G1181" s="19"/>
      <c r="P1181" s="19"/>
      <c r="R1181" s="19"/>
    </row>
    <row r="1182" spans="2:18">
      <c r="B1182" s="19"/>
      <c r="G1182" s="19"/>
      <c r="P1182" s="19"/>
      <c r="R1182" s="19"/>
    </row>
    <row r="1183" spans="2:18">
      <c r="B1183" s="19"/>
      <c r="G1183" s="19"/>
      <c r="P1183" s="19"/>
      <c r="R1183" s="19"/>
    </row>
    <row r="1184" spans="2:18">
      <c r="B1184" s="19"/>
      <c r="G1184" s="19"/>
      <c r="P1184" s="19"/>
      <c r="R1184" s="19"/>
    </row>
    <row r="1185" spans="2:18">
      <c r="B1185" s="19"/>
      <c r="G1185" s="19"/>
      <c r="P1185" s="19"/>
      <c r="R1185" s="19"/>
    </row>
    <row r="1186" spans="2:18">
      <c r="B1186" s="19"/>
      <c r="G1186" s="19"/>
      <c r="P1186" s="19"/>
      <c r="R1186" s="19"/>
    </row>
    <row r="1187" spans="2:18">
      <c r="B1187" s="19"/>
      <c r="G1187" s="19"/>
      <c r="P1187" s="19"/>
      <c r="R1187" s="19"/>
    </row>
    <row r="1188" spans="2:18">
      <c r="B1188" s="19"/>
      <c r="G1188" s="19"/>
      <c r="P1188" s="19"/>
      <c r="R1188" s="19"/>
    </row>
    <row r="1189" spans="2:18">
      <c r="B1189" s="19"/>
      <c r="G1189" s="19"/>
      <c r="P1189" s="19"/>
      <c r="R1189" s="19"/>
    </row>
    <row r="1190" spans="2:18">
      <c r="B1190" s="19"/>
      <c r="G1190" s="19"/>
      <c r="P1190" s="19"/>
      <c r="R1190" s="19"/>
    </row>
    <row r="1191" spans="2:18">
      <c r="B1191" s="19"/>
      <c r="G1191" s="19"/>
      <c r="P1191" s="19"/>
      <c r="R1191" s="19"/>
    </row>
    <row r="1192" spans="2:18">
      <c r="B1192" s="19"/>
      <c r="G1192" s="19"/>
      <c r="P1192" s="19"/>
      <c r="R1192" s="19"/>
    </row>
    <row r="1193" spans="2:18">
      <c r="B1193" s="19"/>
      <c r="G1193" s="19"/>
      <c r="P1193" s="19"/>
      <c r="R1193" s="19"/>
    </row>
    <row r="1194" spans="2:18">
      <c r="B1194" s="19"/>
      <c r="G1194" s="19"/>
      <c r="P1194" s="19"/>
      <c r="R1194" s="19"/>
    </row>
    <row r="1195" spans="2:18">
      <c r="B1195" s="19"/>
      <c r="G1195" s="19"/>
      <c r="P1195" s="19"/>
      <c r="R1195" s="19"/>
    </row>
    <row r="1196" spans="2:18">
      <c r="B1196" s="19"/>
      <c r="G1196" s="19"/>
      <c r="P1196" s="19"/>
      <c r="R1196" s="19"/>
    </row>
    <row r="1197" spans="2:18">
      <c r="B1197" s="19"/>
      <c r="G1197" s="19"/>
      <c r="P1197" s="19"/>
      <c r="R1197" s="19"/>
    </row>
    <row r="1198" spans="2:18">
      <c r="B1198" s="19"/>
      <c r="G1198" s="19"/>
      <c r="P1198" s="19"/>
      <c r="R1198" s="19"/>
    </row>
    <row r="1199" spans="2:18">
      <c r="B1199" s="19"/>
      <c r="G1199" s="19"/>
      <c r="P1199" s="19"/>
      <c r="R1199" s="19"/>
    </row>
    <row r="1200" spans="2:18">
      <c r="B1200" s="19"/>
      <c r="G1200" s="19"/>
      <c r="P1200" s="19"/>
      <c r="R1200" s="19"/>
    </row>
    <row r="1201" spans="2:18">
      <c r="B1201" s="19"/>
      <c r="G1201" s="19"/>
      <c r="P1201" s="19"/>
      <c r="R1201" s="19"/>
    </row>
    <row r="1202" spans="2:18">
      <c r="B1202" s="19"/>
      <c r="G1202" s="19"/>
      <c r="P1202" s="19"/>
      <c r="R1202" s="19"/>
    </row>
    <row r="1203" spans="2:18">
      <c r="B1203" s="19"/>
      <c r="G1203" s="19"/>
      <c r="P1203" s="19"/>
      <c r="R1203" s="19"/>
    </row>
    <row r="1204" spans="2:18">
      <c r="B1204" s="19"/>
      <c r="G1204" s="19"/>
      <c r="P1204" s="19"/>
      <c r="R1204" s="19"/>
    </row>
    <row r="1205" spans="2:18">
      <c r="B1205" s="19"/>
      <c r="G1205" s="19"/>
      <c r="P1205" s="19"/>
      <c r="R1205" s="19"/>
    </row>
    <row r="1206" spans="2:18">
      <c r="B1206" s="19"/>
      <c r="G1206" s="19"/>
      <c r="P1206" s="19"/>
      <c r="R1206" s="19"/>
    </row>
    <row r="1207" spans="2:18">
      <c r="B1207" s="19"/>
      <c r="G1207" s="19"/>
      <c r="P1207" s="19"/>
      <c r="R1207" s="19"/>
    </row>
    <row r="1208" spans="2:18">
      <c r="B1208" s="19"/>
      <c r="G1208" s="19"/>
      <c r="P1208" s="19"/>
      <c r="R1208" s="19"/>
    </row>
    <row r="1209" spans="2:18">
      <c r="B1209" s="19"/>
      <c r="G1209" s="19"/>
      <c r="P1209" s="19"/>
      <c r="R1209" s="19"/>
    </row>
    <row r="1210" spans="2:18">
      <c r="B1210" s="19"/>
      <c r="G1210" s="19"/>
      <c r="P1210" s="19"/>
      <c r="R1210" s="19"/>
    </row>
    <row r="1211" spans="2:18">
      <c r="B1211" s="19"/>
      <c r="G1211" s="19"/>
      <c r="P1211" s="19"/>
      <c r="R1211" s="19"/>
    </row>
    <row r="1212" spans="2:18">
      <c r="B1212" s="19"/>
      <c r="G1212" s="19"/>
      <c r="P1212" s="19"/>
      <c r="R1212" s="19"/>
    </row>
    <row r="1213" spans="2:18">
      <c r="B1213" s="19"/>
      <c r="G1213" s="19"/>
      <c r="P1213" s="19"/>
      <c r="R1213" s="19"/>
    </row>
    <row r="1214" spans="2:18">
      <c r="B1214" s="19"/>
      <c r="G1214" s="19"/>
      <c r="P1214" s="19"/>
      <c r="R1214" s="19"/>
    </row>
    <row r="1215" spans="2:18">
      <c r="B1215" s="19"/>
      <c r="G1215" s="19"/>
      <c r="P1215" s="19"/>
      <c r="R1215" s="19"/>
    </row>
    <row r="1216" spans="2:18">
      <c r="B1216" s="19"/>
      <c r="G1216" s="19"/>
      <c r="P1216" s="19"/>
      <c r="R1216" s="19"/>
    </row>
    <row r="1217" spans="2:18">
      <c r="B1217" s="19"/>
      <c r="G1217" s="19"/>
      <c r="P1217" s="19"/>
      <c r="R1217" s="19"/>
    </row>
    <row r="1218" spans="2:18">
      <c r="B1218" s="19"/>
      <c r="G1218" s="19"/>
      <c r="P1218" s="19"/>
      <c r="R1218" s="19"/>
    </row>
    <row r="1219" spans="2:18">
      <c r="B1219" s="19"/>
      <c r="G1219" s="19"/>
      <c r="P1219" s="19"/>
      <c r="R1219" s="19"/>
    </row>
    <row r="1220" spans="2:18">
      <c r="B1220" s="19"/>
      <c r="G1220" s="19"/>
      <c r="P1220" s="19"/>
      <c r="R1220" s="19"/>
    </row>
    <row r="1221" spans="2:18">
      <c r="B1221" s="19"/>
      <c r="G1221" s="19"/>
      <c r="P1221" s="19"/>
      <c r="R1221" s="19"/>
    </row>
    <row r="1222" spans="2:18">
      <c r="B1222" s="19"/>
      <c r="G1222" s="19"/>
      <c r="P1222" s="19"/>
      <c r="R1222" s="19"/>
    </row>
    <row r="1223" spans="2:18">
      <c r="B1223" s="19"/>
      <c r="G1223" s="19"/>
      <c r="P1223" s="19"/>
      <c r="R1223" s="19"/>
    </row>
    <row r="1224" spans="2:18">
      <c r="B1224" s="19"/>
      <c r="G1224" s="19"/>
      <c r="P1224" s="19"/>
      <c r="R1224" s="19"/>
    </row>
    <row r="1225" spans="2:18">
      <c r="B1225" s="19"/>
      <c r="G1225" s="19"/>
      <c r="P1225" s="19"/>
      <c r="R1225" s="19"/>
    </row>
    <row r="1226" spans="2:18">
      <c r="B1226" s="19"/>
      <c r="G1226" s="19"/>
      <c r="P1226" s="19"/>
      <c r="R1226" s="19"/>
    </row>
    <row r="1227" spans="2:18">
      <c r="B1227" s="19"/>
      <c r="G1227" s="19"/>
      <c r="P1227" s="19"/>
      <c r="R1227" s="19"/>
    </row>
    <row r="1228" spans="2:18">
      <c r="B1228" s="19"/>
      <c r="G1228" s="19"/>
      <c r="P1228" s="19"/>
      <c r="R1228" s="19"/>
    </row>
    <row r="1229" spans="2:18">
      <c r="B1229" s="19"/>
      <c r="G1229" s="19"/>
      <c r="P1229" s="19"/>
      <c r="R1229" s="19"/>
    </row>
    <row r="1230" spans="2:18">
      <c r="B1230" s="19"/>
      <c r="G1230" s="19"/>
      <c r="P1230" s="19"/>
      <c r="R1230" s="19"/>
    </row>
    <row r="1231" spans="2:18">
      <c r="B1231" s="19"/>
      <c r="G1231" s="19"/>
      <c r="P1231" s="19"/>
      <c r="R1231" s="19"/>
    </row>
    <row r="1232" spans="2:18">
      <c r="B1232" s="19"/>
      <c r="G1232" s="19"/>
      <c r="P1232" s="19"/>
      <c r="R1232" s="19"/>
    </row>
    <row r="1233" spans="2:18">
      <c r="B1233" s="19"/>
      <c r="G1233" s="19"/>
      <c r="P1233" s="19"/>
      <c r="R1233" s="19"/>
    </row>
    <row r="1234" spans="2:18">
      <c r="B1234" s="19"/>
      <c r="G1234" s="19"/>
      <c r="P1234" s="19"/>
      <c r="R1234" s="19"/>
    </row>
    <row r="1235" spans="2:18">
      <c r="B1235" s="19"/>
      <c r="G1235" s="19"/>
      <c r="P1235" s="19"/>
      <c r="R1235" s="19"/>
    </row>
    <row r="1236" spans="2:18">
      <c r="B1236" s="19"/>
      <c r="G1236" s="19"/>
      <c r="P1236" s="19"/>
      <c r="R1236" s="19"/>
    </row>
    <row r="1237" spans="2:18">
      <c r="B1237" s="19"/>
      <c r="G1237" s="19"/>
      <c r="P1237" s="19"/>
      <c r="R1237" s="19"/>
    </row>
    <row r="1238" spans="2:18">
      <c r="B1238" s="19"/>
      <c r="G1238" s="19"/>
      <c r="P1238" s="19"/>
      <c r="R1238" s="19"/>
    </row>
    <row r="1239" spans="2:18">
      <c r="B1239" s="19"/>
      <c r="G1239" s="19"/>
      <c r="P1239" s="19"/>
      <c r="R1239" s="19"/>
    </row>
    <row r="1240" spans="2:18">
      <c r="B1240" s="19"/>
      <c r="G1240" s="19"/>
      <c r="P1240" s="19"/>
      <c r="R1240" s="19"/>
    </row>
    <row r="1241" spans="2:18">
      <c r="B1241" s="19"/>
      <c r="G1241" s="19"/>
      <c r="P1241" s="19"/>
      <c r="R1241" s="19"/>
    </row>
    <row r="1242" spans="2:18">
      <c r="B1242" s="19"/>
      <c r="G1242" s="19"/>
      <c r="P1242" s="19"/>
      <c r="R1242" s="19"/>
    </row>
    <row r="1243" spans="2:18">
      <c r="B1243" s="19"/>
      <c r="G1243" s="19"/>
      <c r="P1243" s="19"/>
      <c r="R1243" s="19"/>
    </row>
    <row r="1244" spans="2:18">
      <c r="B1244" s="19"/>
      <c r="G1244" s="19"/>
      <c r="P1244" s="19"/>
      <c r="R1244" s="19"/>
    </row>
    <row r="1245" spans="2:18">
      <c r="B1245" s="19"/>
      <c r="G1245" s="19"/>
      <c r="P1245" s="19"/>
      <c r="R1245" s="19"/>
    </row>
    <row r="1246" spans="2:18">
      <c r="B1246" s="19"/>
      <c r="G1246" s="19"/>
      <c r="P1246" s="19"/>
      <c r="R1246" s="19"/>
    </row>
    <row r="1247" spans="2:18">
      <c r="B1247" s="19"/>
      <c r="G1247" s="19"/>
      <c r="P1247" s="19"/>
      <c r="R1247" s="19"/>
    </row>
    <row r="1248" spans="2:18">
      <c r="B1248" s="19"/>
      <c r="G1248" s="19"/>
      <c r="P1248" s="19"/>
      <c r="R1248" s="19"/>
    </row>
    <row r="1249" spans="2:18">
      <c r="B1249" s="19"/>
      <c r="G1249" s="19"/>
      <c r="P1249" s="19"/>
      <c r="R1249" s="19"/>
    </row>
    <row r="1250" spans="2:18">
      <c r="B1250" s="19"/>
      <c r="G1250" s="19"/>
      <c r="P1250" s="19"/>
      <c r="R1250" s="19"/>
    </row>
    <row r="1251" spans="2:18">
      <c r="B1251" s="19"/>
      <c r="G1251" s="19"/>
      <c r="P1251" s="19"/>
      <c r="R1251" s="19"/>
    </row>
    <row r="1252" spans="2:18">
      <c r="B1252" s="19"/>
      <c r="G1252" s="19"/>
      <c r="P1252" s="19"/>
      <c r="R1252" s="19"/>
    </row>
    <row r="1253" spans="2:18">
      <c r="B1253" s="19"/>
      <c r="G1253" s="19"/>
      <c r="P1253" s="19"/>
      <c r="R1253" s="19"/>
    </row>
    <row r="1254" spans="2:18">
      <c r="B1254" s="19"/>
      <c r="G1254" s="19"/>
      <c r="P1254" s="19"/>
      <c r="R1254" s="19"/>
    </row>
    <row r="1255" spans="2:18">
      <c r="B1255" s="19"/>
      <c r="G1255" s="19"/>
      <c r="P1255" s="19"/>
      <c r="R1255" s="19"/>
    </row>
    <row r="1256" spans="2:18">
      <c r="B1256" s="19"/>
      <c r="G1256" s="19"/>
      <c r="P1256" s="19"/>
      <c r="R1256" s="19"/>
    </row>
    <row r="1257" spans="2:18">
      <c r="B1257" s="19"/>
      <c r="G1257" s="19"/>
      <c r="P1257" s="19"/>
      <c r="R1257" s="19"/>
    </row>
    <row r="1258" spans="2:18">
      <c r="B1258" s="19"/>
      <c r="G1258" s="19"/>
      <c r="P1258" s="19"/>
      <c r="R1258" s="19"/>
    </row>
    <row r="1259" spans="2:18">
      <c r="B1259" s="19"/>
      <c r="G1259" s="19"/>
      <c r="P1259" s="19"/>
      <c r="R1259" s="19"/>
    </row>
    <row r="1260" spans="2:18">
      <c r="B1260" s="19"/>
      <c r="G1260" s="19"/>
      <c r="P1260" s="19"/>
      <c r="R1260" s="19"/>
    </row>
    <row r="1261" spans="2:18">
      <c r="B1261" s="19"/>
      <c r="G1261" s="19"/>
      <c r="P1261" s="19"/>
      <c r="R1261" s="19"/>
    </row>
    <row r="1262" spans="2:18">
      <c r="B1262" s="19"/>
      <c r="G1262" s="19"/>
      <c r="P1262" s="19"/>
      <c r="R1262" s="19"/>
    </row>
    <row r="1263" spans="2:18">
      <c r="B1263" s="19"/>
      <c r="G1263" s="19"/>
      <c r="P1263" s="19"/>
      <c r="R1263" s="19"/>
    </row>
    <row r="1264" spans="2:18">
      <c r="B1264" s="19"/>
      <c r="G1264" s="19"/>
      <c r="P1264" s="19"/>
      <c r="R1264" s="19"/>
    </row>
    <row r="1265" spans="2:18">
      <c r="B1265" s="19"/>
      <c r="G1265" s="19"/>
      <c r="P1265" s="19"/>
      <c r="R1265" s="19"/>
    </row>
    <row r="1266" spans="2:18">
      <c r="B1266" s="19"/>
      <c r="G1266" s="19"/>
      <c r="P1266" s="19"/>
      <c r="R1266" s="19"/>
    </row>
    <row r="1267" spans="2:18">
      <c r="B1267" s="19"/>
      <c r="G1267" s="19"/>
      <c r="P1267" s="19"/>
      <c r="R1267" s="19"/>
    </row>
    <row r="1268" spans="2:18">
      <c r="B1268" s="19"/>
      <c r="G1268" s="19"/>
      <c r="P1268" s="19"/>
      <c r="R1268" s="19"/>
    </row>
    <row r="1269" spans="2:18">
      <c r="B1269" s="19"/>
      <c r="G1269" s="19"/>
      <c r="P1269" s="19"/>
      <c r="R1269" s="19"/>
    </row>
    <row r="1270" spans="2:18">
      <c r="B1270" s="19"/>
      <c r="G1270" s="19"/>
      <c r="P1270" s="19"/>
      <c r="R1270" s="19"/>
    </row>
    <row r="1271" spans="2:18">
      <c r="B1271" s="19"/>
      <c r="G1271" s="19"/>
      <c r="P1271" s="19"/>
      <c r="R1271" s="19"/>
    </row>
    <row r="1272" spans="2:18">
      <c r="B1272" s="19"/>
      <c r="G1272" s="19"/>
      <c r="P1272" s="19"/>
      <c r="R1272" s="19"/>
    </row>
    <row r="1273" spans="2:18">
      <c r="B1273" s="19"/>
      <c r="G1273" s="19"/>
      <c r="P1273" s="19"/>
      <c r="R1273" s="19"/>
    </row>
    <row r="1274" spans="2:18">
      <c r="B1274" s="19"/>
      <c r="G1274" s="19"/>
      <c r="P1274" s="19"/>
      <c r="R1274" s="19"/>
    </row>
    <row r="1275" spans="2:18">
      <c r="B1275" s="19"/>
      <c r="G1275" s="19"/>
      <c r="P1275" s="19"/>
      <c r="R1275" s="19"/>
    </row>
    <row r="1276" spans="2:18">
      <c r="B1276" s="19"/>
      <c r="G1276" s="19"/>
      <c r="P1276" s="19"/>
      <c r="R1276" s="19"/>
    </row>
    <row r="1277" spans="2:18">
      <c r="B1277" s="19"/>
      <c r="G1277" s="19"/>
      <c r="P1277" s="19"/>
      <c r="R1277" s="19"/>
    </row>
    <row r="1278" spans="2:18">
      <c r="B1278" s="19"/>
      <c r="G1278" s="19"/>
      <c r="P1278" s="19"/>
      <c r="R1278" s="19"/>
    </row>
    <row r="1279" spans="2:18">
      <c r="B1279" s="19"/>
      <c r="G1279" s="19"/>
      <c r="P1279" s="19"/>
      <c r="R1279" s="19"/>
    </row>
    <row r="1280" spans="2:18">
      <c r="B1280" s="19"/>
      <c r="G1280" s="19"/>
      <c r="P1280" s="19"/>
      <c r="R1280" s="19"/>
    </row>
    <row r="1281" spans="2:18">
      <c r="B1281" s="19"/>
      <c r="G1281" s="19"/>
      <c r="P1281" s="19"/>
      <c r="R1281" s="19"/>
    </row>
    <row r="1282" spans="2:18">
      <c r="B1282" s="19"/>
      <c r="G1282" s="19"/>
      <c r="P1282" s="19"/>
      <c r="R1282" s="19"/>
    </row>
    <row r="1283" spans="2:18">
      <c r="B1283" s="19"/>
      <c r="G1283" s="19"/>
      <c r="P1283" s="19"/>
      <c r="R1283" s="19"/>
    </row>
    <row r="1284" spans="2:18">
      <c r="B1284" s="19"/>
      <c r="G1284" s="19"/>
      <c r="P1284" s="19"/>
      <c r="R1284" s="19"/>
    </row>
    <row r="1285" spans="2:18">
      <c r="B1285" s="19"/>
      <c r="G1285" s="19"/>
      <c r="P1285" s="19"/>
      <c r="R1285" s="19"/>
    </row>
    <row r="1286" spans="2:18">
      <c r="B1286" s="19"/>
      <c r="G1286" s="19"/>
      <c r="P1286" s="19"/>
      <c r="R1286" s="19"/>
    </row>
    <row r="1287" spans="2:18">
      <c r="B1287" s="19"/>
      <c r="G1287" s="19"/>
      <c r="P1287" s="19"/>
      <c r="R1287" s="19"/>
    </row>
    <row r="1288" spans="2:18">
      <c r="B1288" s="19"/>
      <c r="G1288" s="19"/>
      <c r="P1288" s="19"/>
      <c r="R1288" s="19"/>
    </row>
    <row r="1289" spans="2:18">
      <c r="B1289" s="19"/>
      <c r="G1289" s="19"/>
      <c r="P1289" s="19"/>
      <c r="R1289" s="19"/>
    </row>
    <row r="1290" spans="2:18">
      <c r="B1290" s="19"/>
      <c r="G1290" s="19"/>
      <c r="P1290" s="19"/>
      <c r="R1290" s="19"/>
    </row>
    <row r="1291" spans="2:18">
      <c r="B1291" s="19"/>
      <c r="G1291" s="19"/>
      <c r="P1291" s="19"/>
      <c r="R1291" s="19"/>
    </row>
    <row r="1292" spans="2:18">
      <c r="B1292" s="19"/>
      <c r="G1292" s="19"/>
      <c r="P1292" s="19"/>
      <c r="R1292" s="19"/>
    </row>
    <row r="1293" spans="2:18">
      <c r="B1293" s="19"/>
      <c r="G1293" s="19"/>
      <c r="P1293" s="19"/>
      <c r="R1293" s="19"/>
    </row>
    <row r="1294" spans="2:18">
      <c r="B1294" s="19"/>
      <c r="G1294" s="19"/>
      <c r="P1294" s="19"/>
      <c r="R1294" s="19"/>
    </row>
    <row r="1295" spans="2:18">
      <c r="B1295" s="19"/>
      <c r="G1295" s="19"/>
      <c r="P1295" s="19"/>
      <c r="R1295" s="19"/>
    </row>
    <row r="1296" spans="2:18">
      <c r="B1296" s="19"/>
      <c r="G1296" s="19"/>
      <c r="P1296" s="19"/>
      <c r="R1296" s="19"/>
    </row>
    <row r="1297" spans="2:18">
      <c r="B1297" s="19"/>
      <c r="G1297" s="19"/>
      <c r="P1297" s="19"/>
      <c r="R1297" s="19"/>
    </row>
    <row r="1298" spans="2:18">
      <c r="B1298" s="19"/>
      <c r="G1298" s="19"/>
      <c r="P1298" s="19"/>
      <c r="R1298" s="19"/>
    </row>
    <row r="1299" spans="2:18">
      <c r="B1299" s="19"/>
      <c r="G1299" s="19"/>
      <c r="P1299" s="19"/>
      <c r="R1299" s="19"/>
    </row>
    <row r="1300" spans="2:18">
      <c r="B1300" s="19"/>
      <c r="G1300" s="19"/>
      <c r="P1300" s="19"/>
      <c r="R1300" s="19"/>
    </row>
    <row r="1301" spans="2:18">
      <c r="B1301" s="19"/>
      <c r="G1301" s="19"/>
      <c r="P1301" s="19"/>
      <c r="R1301" s="19"/>
    </row>
    <row r="1302" spans="2:18">
      <c r="B1302" s="19"/>
      <c r="G1302" s="19"/>
      <c r="P1302" s="19"/>
      <c r="R1302" s="19"/>
    </row>
    <row r="1303" spans="2:18">
      <c r="B1303" s="19"/>
      <c r="G1303" s="19"/>
      <c r="P1303" s="19"/>
      <c r="R1303" s="19"/>
    </row>
    <row r="1304" spans="2:18">
      <c r="B1304" s="19"/>
      <c r="G1304" s="19"/>
      <c r="P1304" s="19"/>
      <c r="R1304" s="19"/>
    </row>
    <row r="1305" spans="2:18">
      <c r="B1305" s="19"/>
      <c r="G1305" s="19"/>
      <c r="P1305" s="19"/>
      <c r="R1305" s="19"/>
    </row>
    <row r="1306" spans="2:18">
      <c r="B1306" s="19"/>
      <c r="G1306" s="19"/>
      <c r="P1306" s="19"/>
      <c r="R1306" s="19"/>
    </row>
    <row r="1307" spans="2:18">
      <c r="B1307" s="19"/>
      <c r="G1307" s="19"/>
      <c r="P1307" s="19"/>
      <c r="R1307" s="19"/>
    </row>
    <row r="1308" spans="2:18">
      <c r="B1308" s="19"/>
      <c r="G1308" s="19"/>
      <c r="P1308" s="19"/>
      <c r="R1308" s="19"/>
    </row>
    <row r="1309" spans="2:18">
      <c r="B1309" s="19"/>
      <c r="G1309" s="19"/>
      <c r="P1309" s="19"/>
      <c r="R1309" s="19"/>
    </row>
    <row r="1310" spans="2:18">
      <c r="B1310" s="19"/>
      <c r="G1310" s="19"/>
      <c r="P1310" s="19"/>
      <c r="R1310" s="19"/>
    </row>
    <row r="1311" spans="2:18">
      <c r="B1311" s="19"/>
      <c r="G1311" s="19"/>
      <c r="P1311" s="19"/>
      <c r="R1311" s="19"/>
    </row>
    <row r="1312" spans="2:18">
      <c r="B1312" s="19"/>
      <c r="G1312" s="19"/>
      <c r="P1312" s="19"/>
      <c r="R1312" s="19"/>
    </row>
    <row r="1313" spans="2:18">
      <c r="B1313" s="19"/>
      <c r="G1313" s="19"/>
      <c r="P1313" s="19"/>
      <c r="R1313" s="19"/>
    </row>
    <row r="1314" spans="2:18">
      <c r="B1314" s="19"/>
      <c r="G1314" s="19"/>
      <c r="P1314" s="19"/>
      <c r="R1314" s="19"/>
    </row>
    <row r="1315" spans="2:18">
      <c r="B1315" s="19"/>
      <c r="G1315" s="19"/>
      <c r="P1315" s="19"/>
      <c r="R1315" s="19"/>
    </row>
    <row r="1316" spans="2:18">
      <c r="B1316" s="19"/>
      <c r="G1316" s="19"/>
      <c r="P1316" s="19"/>
      <c r="R1316" s="19"/>
    </row>
    <row r="1317" spans="2:18">
      <c r="B1317" s="19"/>
      <c r="G1317" s="19"/>
      <c r="P1317" s="19"/>
      <c r="R1317" s="19"/>
    </row>
    <row r="1318" spans="2:18">
      <c r="B1318" s="19"/>
      <c r="G1318" s="19"/>
      <c r="P1318" s="19"/>
      <c r="R1318" s="19"/>
    </row>
    <row r="1319" spans="2:18">
      <c r="B1319" s="19"/>
      <c r="G1319" s="19"/>
      <c r="P1319" s="19"/>
      <c r="R1319" s="19"/>
    </row>
    <row r="1320" spans="2:18">
      <c r="B1320" s="19"/>
      <c r="G1320" s="19"/>
      <c r="P1320" s="19"/>
      <c r="R1320" s="19"/>
    </row>
    <row r="1321" spans="2:18">
      <c r="B1321" s="19"/>
      <c r="G1321" s="19"/>
      <c r="P1321" s="19"/>
      <c r="R1321" s="19"/>
    </row>
    <row r="1322" spans="2:18">
      <c r="B1322" s="19"/>
      <c r="G1322" s="19"/>
      <c r="P1322" s="19"/>
      <c r="R1322" s="19"/>
    </row>
    <row r="1323" spans="2:18">
      <c r="B1323" s="19"/>
      <c r="G1323" s="19"/>
      <c r="P1323" s="19"/>
      <c r="R1323" s="19"/>
    </row>
    <row r="1324" spans="2:18">
      <c r="B1324" s="19"/>
      <c r="G1324" s="19"/>
      <c r="P1324" s="19"/>
      <c r="R1324" s="19"/>
    </row>
    <row r="1325" spans="2:18">
      <c r="B1325" s="19"/>
      <c r="G1325" s="19"/>
      <c r="P1325" s="19"/>
      <c r="R1325" s="19"/>
    </row>
    <row r="1326" spans="2:18">
      <c r="B1326" s="19"/>
      <c r="G1326" s="19"/>
      <c r="P1326" s="19"/>
      <c r="R1326" s="19"/>
    </row>
    <row r="1327" spans="2:18">
      <c r="B1327" s="19"/>
      <c r="G1327" s="19"/>
      <c r="P1327" s="19"/>
      <c r="R1327" s="19"/>
    </row>
    <row r="1328" spans="2:18">
      <c r="B1328" s="19"/>
      <c r="G1328" s="19"/>
      <c r="P1328" s="19"/>
      <c r="R1328" s="19"/>
    </row>
    <row r="1329" spans="2:18">
      <c r="B1329" s="19"/>
      <c r="G1329" s="19"/>
      <c r="P1329" s="19"/>
      <c r="R1329" s="19"/>
    </row>
    <row r="1330" spans="2:18">
      <c r="B1330" s="19"/>
      <c r="G1330" s="19"/>
      <c r="P1330" s="19"/>
      <c r="R1330" s="19"/>
    </row>
    <row r="1331" spans="2:18">
      <c r="B1331" s="19"/>
      <c r="G1331" s="19"/>
      <c r="P1331" s="19"/>
      <c r="R1331" s="19"/>
    </row>
    <row r="1332" spans="2:18">
      <c r="B1332" s="19"/>
      <c r="G1332" s="19"/>
      <c r="P1332" s="19"/>
      <c r="R1332" s="19"/>
    </row>
    <row r="1333" spans="2:18">
      <c r="B1333" s="19"/>
      <c r="G1333" s="19"/>
      <c r="P1333" s="19"/>
      <c r="R1333" s="19"/>
    </row>
    <row r="1334" spans="2:18">
      <c r="B1334" s="19"/>
      <c r="G1334" s="19"/>
      <c r="P1334" s="19"/>
      <c r="R1334" s="19"/>
    </row>
    <row r="1335" spans="2:18">
      <c r="B1335" s="19"/>
      <c r="G1335" s="19"/>
      <c r="P1335" s="19"/>
      <c r="R1335" s="19"/>
    </row>
    <row r="1336" spans="2:18">
      <c r="B1336" s="19"/>
      <c r="G1336" s="19"/>
      <c r="P1336" s="19"/>
      <c r="R1336" s="19"/>
    </row>
    <row r="1337" spans="2:18">
      <c r="B1337" s="19"/>
      <c r="G1337" s="19"/>
      <c r="P1337" s="19"/>
      <c r="R1337" s="19"/>
    </row>
    <row r="1338" spans="2:18">
      <c r="B1338" s="19"/>
      <c r="G1338" s="19"/>
      <c r="P1338" s="19"/>
      <c r="R1338" s="19"/>
    </row>
    <row r="1339" spans="2:18">
      <c r="B1339" s="19"/>
      <c r="G1339" s="19"/>
      <c r="P1339" s="19"/>
      <c r="R1339" s="19"/>
    </row>
    <row r="1340" spans="2:18">
      <c r="B1340" s="19"/>
      <c r="G1340" s="19"/>
      <c r="P1340" s="19"/>
      <c r="R1340" s="19"/>
    </row>
    <row r="1341" spans="2:18">
      <c r="B1341" s="19"/>
      <c r="G1341" s="19"/>
      <c r="P1341" s="19"/>
      <c r="R1341" s="19"/>
    </row>
    <row r="1342" spans="2:18">
      <c r="B1342" s="19"/>
      <c r="G1342" s="19"/>
      <c r="P1342" s="19"/>
      <c r="R1342" s="19"/>
    </row>
    <row r="1343" spans="2:18">
      <c r="B1343" s="19"/>
      <c r="G1343" s="19"/>
      <c r="P1343" s="19"/>
      <c r="R1343" s="19"/>
    </row>
    <row r="1344" spans="2:18">
      <c r="B1344" s="19"/>
      <c r="G1344" s="19"/>
      <c r="P1344" s="19"/>
      <c r="R1344" s="19"/>
    </row>
    <row r="1345" spans="2:18">
      <c r="B1345" s="19"/>
      <c r="G1345" s="19"/>
      <c r="P1345" s="19"/>
      <c r="R1345" s="19"/>
    </row>
    <row r="1346" spans="2:18">
      <c r="B1346" s="19"/>
      <c r="G1346" s="19"/>
      <c r="P1346" s="19"/>
      <c r="R1346" s="19"/>
    </row>
    <row r="1347" spans="2:18">
      <c r="B1347" s="19"/>
      <c r="G1347" s="19"/>
      <c r="P1347" s="19"/>
      <c r="R1347" s="19"/>
    </row>
    <row r="1348" spans="2:18">
      <c r="B1348" s="19"/>
      <c r="G1348" s="19"/>
      <c r="P1348" s="19"/>
      <c r="R1348" s="19"/>
    </row>
    <row r="1349" spans="2:18">
      <c r="B1349" s="19"/>
      <c r="G1349" s="19"/>
      <c r="P1349" s="19"/>
      <c r="R1349" s="19"/>
    </row>
    <row r="1350" spans="2:18">
      <c r="B1350" s="19"/>
      <c r="G1350" s="19"/>
      <c r="P1350" s="19"/>
      <c r="R1350" s="19"/>
    </row>
    <row r="1351" spans="2:18">
      <c r="B1351" s="19"/>
      <c r="G1351" s="19"/>
      <c r="P1351" s="19"/>
      <c r="R1351" s="19"/>
    </row>
    <row r="1352" spans="2:18">
      <c r="B1352" s="19"/>
      <c r="G1352" s="19"/>
      <c r="P1352" s="19"/>
      <c r="R1352" s="19"/>
    </row>
    <row r="1353" spans="2:18">
      <c r="B1353" s="19"/>
      <c r="G1353" s="19"/>
      <c r="P1353" s="19"/>
      <c r="R1353" s="19"/>
    </row>
    <row r="1354" spans="2:18">
      <c r="B1354" s="19"/>
      <c r="G1354" s="19"/>
      <c r="P1354" s="19"/>
      <c r="R1354" s="19"/>
    </row>
    <row r="1355" spans="2:18">
      <c r="B1355" s="19"/>
      <c r="G1355" s="19"/>
      <c r="P1355" s="19"/>
      <c r="R1355" s="19"/>
    </row>
    <row r="1356" spans="2:18">
      <c r="B1356" s="19"/>
      <c r="G1356" s="19"/>
      <c r="P1356" s="19"/>
      <c r="R1356" s="19"/>
    </row>
    <row r="1357" spans="2:18">
      <c r="B1357" s="19"/>
      <c r="G1357" s="19"/>
      <c r="P1357" s="19"/>
      <c r="R1357" s="19"/>
    </row>
    <row r="1358" spans="2:18">
      <c r="B1358" s="19"/>
      <c r="G1358" s="19"/>
      <c r="P1358" s="19"/>
      <c r="R1358" s="19"/>
    </row>
    <row r="1359" spans="2:18">
      <c r="B1359" s="19"/>
      <c r="G1359" s="19"/>
      <c r="P1359" s="19"/>
      <c r="R1359" s="19"/>
    </row>
    <row r="1360" spans="2:18">
      <c r="B1360" s="19"/>
      <c r="G1360" s="19"/>
      <c r="P1360" s="19"/>
      <c r="R1360" s="19"/>
    </row>
    <row r="1361" spans="2:18">
      <c r="B1361" s="19"/>
      <c r="G1361" s="19"/>
      <c r="P1361" s="19"/>
      <c r="R1361" s="19"/>
    </row>
    <row r="1362" spans="2:18">
      <c r="B1362" s="19"/>
      <c r="G1362" s="19"/>
      <c r="P1362" s="19"/>
      <c r="R1362" s="19"/>
    </row>
    <row r="1363" spans="2:18">
      <c r="B1363" s="19"/>
      <c r="G1363" s="19"/>
      <c r="P1363" s="19"/>
      <c r="R1363" s="19"/>
    </row>
    <row r="1364" spans="2:18">
      <c r="B1364" s="19"/>
      <c r="G1364" s="19"/>
      <c r="P1364" s="19"/>
      <c r="R1364" s="19"/>
    </row>
    <row r="1365" spans="2:18">
      <c r="B1365" s="19"/>
      <c r="G1365" s="19"/>
      <c r="P1365" s="19"/>
      <c r="R1365" s="19"/>
    </row>
    <row r="1366" spans="2:18">
      <c r="B1366" s="19"/>
      <c r="G1366" s="19"/>
      <c r="P1366" s="19"/>
      <c r="R1366" s="19"/>
    </row>
    <row r="1367" spans="2:18">
      <c r="B1367" s="19"/>
      <c r="G1367" s="19"/>
      <c r="P1367" s="19"/>
      <c r="R1367" s="19"/>
    </row>
    <row r="1368" spans="2:18">
      <c r="B1368" s="19"/>
      <c r="G1368" s="19"/>
      <c r="P1368" s="19"/>
      <c r="R1368" s="19"/>
    </row>
    <row r="1369" spans="2:18">
      <c r="B1369" s="19"/>
      <c r="G1369" s="19"/>
      <c r="P1369" s="19"/>
      <c r="R1369" s="19"/>
    </row>
    <row r="1370" spans="2:18">
      <c r="B1370" s="19"/>
      <c r="G1370" s="19"/>
      <c r="P1370" s="19"/>
      <c r="R1370" s="19"/>
    </row>
    <row r="1371" spans="2:18">
      <c r="B1371" s="19"/>
      <c r="G1371" s="19"/>
      <c r="P1371" s="19"/>
      <c r="R1371" s="19"/>
    </row>
    <row r="1372" spans="2:18">
      <c r="B1372" s="19"/>
      <c r="G1372" s="19"/>
      <c r="P1372" s="19"/>
      <c r="R1372" s="19"/>
    </row>
    <row r="1373" spans="2:18">
      <c r="B1373" s="19"/>
      <c r="G1373" s="19"/>
      <c r="P1373" s="19"/>
      <c r="R1373" s="19"/>
    </row>
    <row r="1374" spans="2:18">
      <c r="B1374" s="19"/>
      <c r="G1374" s="19"/>
      <c r="P1374" s="19"/>
      <c r="R1374" s="19"/>
    </row>
    <row r="1375" spans="2:18">
      <c r="B1375" s="19"/>
      <c r="G1375" s="19"/>
      <c r="P1375" s="19"/>
      <c r="R1375" s="19"/>
    </row>
    <row r="1376" spans="2:18">
      <c r="B1376" s="19"/>
      <c r="G1376" s="19"/>
      <c r="P1376" s="19"/>
      <c r="R1376" s="19"/>
    </row>
    <row r="1377" spans="2:18">
      <c r="B1377" s="19"/>
      <c r="G1377" s="19"/>
      <c r="P1377" s="19"/>
      <c r="R1377" s="19"/>
    </row>
    <row r="1378" spans="2:18">
      <c r="B1378" s="19"/>
      <c r="G1378" s="19"/>
      <c r="P1378" s="19"/>
      <c r="R1378" s="19"/>
    </row>
    <row r="1379" spans="2:18">
      <c r="B1379" s="19"/>
      <c r="G1379" s="19"/>
      <c r="P1379" s="19"/>
      <c r="R1379" s="19"/>
    </row>
    <row r="1380" spans="2:18">
      <c r="B1380" s="19"/>
      <c r="G1380" s="19"/>
      <c r="P1380" s="19"/>
      <c r="R1380" s="19"/>
    </row>
    <row r="1381" spans="2:18">
      <c r="B1381" s="19"/>
      <c r="G1381" s="19"/>
      <c r="P1381" s="19"/>
      <c r="R1381" s="19"/>
    </row>
    <row r="1382" spans="2:18">
      <c r="B1382" s="19"/>
      <c r="G1382" s="19"/>
      <c r="P1382" s="19"/>
      <c r="R1382" s="19"/>
    </row>
    <row r="1383" spans="2:18">
      <c r="B1383" s="19"/>
      <c r="G1383" s="19"/>
      <c r="P1383" s="19"/>
      <c r="R1383" s="19"/>
    </row>
    <row r="1384" spans="2:18">
      <c r="B1384" s="19"/>
      <c r="G1384" s="19"/>
      <c r="P1384" s="19"/>
      <c r="R1384" s="19"/>
    </row>
    <row r="1385" spans="2:18">
      <c r="B1385" s="19"/>
      <c r="G1385" s="19"/>
      <c r="P1385" s="19"/>
      <c r="R1385" s="19"/>
    </row>
    <row r="1386" spans="2:18">
      <c r="B1386" s="19"/>
      <c r="G1386" s="19"/>
      <c r="P1386" s="19"/>
      <c r="R1386" s="19"/>
    </row>
    <row r="1387" spans="2:18">
      <c r="B1387" s="19"/>
      <c r="G1387" s="19"/>
      <c r="P1387" s="19"/>
      <c r="R1387" s="19"/>
    </row>
    <row r="1388" spans="2:18">
      <c r="B1388" s="19"/>
      <c r="G1388" s="19"/>
      <c r="P1388" s="19"/>
      <c r="R1388" s="19"/>
    </row>
    <row r="1389" spans="2:18">
      <c r="B1389" s="19"/>
      <c r="G1389" s="19"/>
      <c r="P1389" s="19"/>
      <c r="R1389" s="19"/>
    </row>
    <row r="1390" spans="2:18">
      <c r="B1390" s="19"/>
      <c r="G1390" s="19"/>
      <c r="P1390" s="19"/>
      <c r="R1390" s="19"/>
    </row>
    <row r="1391" spans="2:18">
      <c r="B1391" s="19"/>
      <c r="G1391" s="19"/>
      <c r="P1391" s="19"/>
      <c r="R1391" s="19"/>
    </row>
    <row r="1392" spans="2:18">
      <c r="B1392" s="19"/>
      <c r="G1392" s="19"/>
      <c r="P1392" s="19"/>
      <c r="R1392" s="19"/>
    </row>
    <row r="1393" spans="2:18">
      <c r="B1393" s="19"/>
      <c r="G1393" s="19"/>
      <c r="P1393" s="19"/>
      <c r="R1393" s="19"/>
    </row>
    <row r="1394" spans="2:18">
      <c r="B1394" s="19"/>
      <c r="G1394" s="19"/>
      <c r="P1394" s="19"/>
      <c r="R1394" s="19"/>
    </row>
    <row r="1395" spans="2:18">
      <c r="B1395" s="19"/>
      <c r="G1395" s="19"/>
      <c r="P1395" s="19"/>
      <c r="R1395" s="19"/>
    </row>
    <row r="1396" spans="2:18">
      <c r="B1396" s="19"/>
      <c r="G1396" s="19"/>
      <c r="P1396" s="19"/>
      <c r="R1396" s="19"/>
    </row>
    <row r="1397" spans="2:18">
      <c r="B1397" s="19"/>
      <c r="G1397" s="19"/>
      <c r="P1397" s="19"/>
      <c r="R1397" s="19"/>
    </row>
    <row r="1398" spans="2:18">
      <c r="B1398" s="19"/>
      <c r="G1398" s="19"/>
      <c r="P1398" s="19"/>
      <c r="R1398" s="19"/>
    </row>
    <row r="1399" spans="2:18">
      <c r="B1399" s="19"/>
      <c r="G1399" s="19"/>
      <c r="P1399" s="19"/>
      <c r="R1399" s="19"/>
    </row>
    <row r="1400" spans="2:18">
      <c r="B1400" s="19"/>
      <c r="G1400" s="19"/>
      <c r="P1400" s="19"/>
      <c r="R1400" s="19"/>
    </row>
    <row r="1401" spans="2:18">
      <c r="B1401" s="19"/>
      <c r="G1401" s="19"/>
      <c r="P1401" s="19"/>
      <c r="R1401" s="19"/>
    </row>
    <row r="1402" spans="2:18">
      <c r="B1402" s="19"/>
      <c r="G1402" s="19"/>
      <c r="P1402" s="19"/>
      <c r="R1402" s="19"/>
    </row>
    <row r="1403" spans="2:18">
      <c r="B1403" s="19"/>
      <c r="G1403" s="19"/>
      <c r="P1403" s="19"/>
      <c r="R1403" s="19"/>
    </row>
    <row r="1404" spans="2:18">
      <c r="B1404" s="19"/>
      <c r="G1404" s="19"/>
      <c r="P1404" s="19"/>
      <c r="R1404" s="19"/>
    </row>
    <row r="1405" spans="2:18">
      <c r="B1405" s="19"/>
      <c r="G1405" s="19"/>
      <c r="P1405" s="19"/>
      <c r="R1405" s="19"/>
    </row>
    <row r="1406" spans="2:18">
      <c r="B1406" s="19"/>
      <c r="G1406" s="19"/>
      <c r="P1406" s="19"/>
      <c r="R1406" s="19"/>
    </row>
    <row r="1407" spans="2:18">
      <c r="B1407" s="19"/>
      <c r="G1407" s="19"/>
      <c r="P1407" s="19"/>
      <c r="R1407" s="19"/>
    </row>
    <row r="1408" spans="2:18">
      <c r="B1408" s="19"/>
      <c r="G1408" s="19"/>
      <c r="P1408" s="19"/>
      <c r="R1408" s="19"/>
    </row>
    <row r="1409" spans="2:18">
      <c r="B1409" s="19"/>
      <c r="G1409" s="19"/>
      <c r="P1409" s="19"/>
      <c r="R1409" s="19"/>
    </row>
    <row r="1410" spans="2:18">
      <c r="B1410" s="19"/>
      <c r="G1410" s="19"/>
      <c r="P1410" s="19"/>
      <c r="R1410" s="19"/>
    </row>
    <row r="1411" spans="2:18">
      <c r="B1411" s="19"/>
      <c r="G1411" s="19"/>
      <c r="P1411" s="19"/>
      <c r="R1411" s="19"/>
    </row>
    <row r="1412" spans="2:18">
      <c r="B1412" s="19"/>
      <c r="G1412" s="19"/>
      <c r="P1412" s="19"/>
      <c r="R1412" s="19"/>
    </row>
    <row r="1413" spans="2:18">
      <c r="B1413" s="19"/>
      <c r="G1413" s="19"/>
      <c r="P1413" s="19"/>
      <c r="R1413" s="19"/>
    </row>
    <row r="1414" spans="2:18">
      <c r="B1414" s="19"/>
      <c r="G1414" s="19"/>
      <c r="P1414" s="19"/>
      <c r="R1414" s="19"/>
    </row>
    <row r="1415" spans="2:18">
      <c r="B1415" s="19"/>
      <c r="G1415" s="19"/>
      <c r="P1415" s="19"/>
      <c r="R1415" s="19"/>
    </row>
    <row r="1416" spans="2:18">
      <c r="B1416" s="19"/>
      <c r="G1416" s="19"/>
      <c r="P1416" s="19"/>
      <c r="R1416" s="19"/>
    </row>
    <row r="1417" spans="2:18">
      <c r="B1417" s="19"/>
      <c r="G1417" s="19"/>
      <c r="P1417" s="19"/>
      <c r="R1417" s="19"/>
    </row>
    <row r="1418" spans="2:18">
      <c r="B1418" s="19"/>
      <c r="G1418" s="19"/>
      <c r="P1418" s="19"/>
      <c r="R1418" s="19"/>
    </row>
    <row r="1419" spans="2:18">
      <c r="B1419" s="19"/>
      <c r="G1419" s="19"/>
      <c r="P1419" s="19"/>
      <c r="R1419" s="19"/>
    </row>
    <row r="1420" spans="2:18">
      <c r="B1420" s="19"/>
      <c r="G1420" s="19"/>
      <c r="P1420" s="19"/>
      <c r="R1420" s="19"/>
    </row>
    <row r="1421" spans="2:18">
      <c r="B1421" s="19"/>
      <c r="G1421" s="19"/>
      <c r="P1421" s="19"/>
      <c r="R1421" s="19"/>
    </row>
    <row r="1422" spans="2:18">
      <c r="B1422" s="19"/>
      <c r="G1422" s="19"/>
      <c r="P1422" s="19"/>
      <c r="R1422" s="19"/>
    </row>
    <row r="1423" spans="2:18">
      <c r="B1423" s="19"/>
      <c r="G1423" s="19"/>
      <c r="P1423" s="19"/>
      <c r="R1423" s="19"/>
    </row>
    <row r="1424" spans="2:18">
      <c r="B1424" s="19"/>
      <c r="G1424" s="19"/>
      <c r="P1424" s="19"/>
      <c r="R1424" s="19"/>
    </row>
    <row r="1425" spans="2:18">
      <c r="B1425" s="19"/>
      <c r="G1425" s="19"/>
      <c r="P1425" s="19"/>
      <c r="R1425" s="19"/>
    </row>
    <row r="1426" spans="2:18">
      <c r="B1426" s="19"/>
      <c r="G1426" s="19"/>
      <c r="P1426" s="19"/>
      <c r="R1426" s="19"/>
    </row>
    <row r="1427" spans="2:18">
      <c r="B1427" s="19"/>
      <c r="G1427" s="19"/>
      <c r="P1427" s="19"/>
      <c r="R1427" s="19"/>
    </row>
    <row r="1428" spans="2:18">
      <c r="B1428" s="19"/>
      <c r="G1428" s="19"/>
      <c r="P1428" s="19"/>
      <c r="R1428" s="19"/>
    </row>
    <row r="1429" spans="2:18">
      <c r="B1429" s="19"/>
      <c r="G1429" s="19"/>
      <c r="P1429" s="19"/>
      <c r="R1429" s="19"/>
    </row>
    <row r="1430" spans="2:18">
      <c r="B1430" s="19"/>
      <c r="G1430" s="19"/>
      <c r="P1430" s="19"/>
      <c r="R1430" s="19"/>
    </row>
    <row r="1431" spans="2:18">
      <c r="B1431" s="19"/>
      <c r="G1431" s="19"/>
      <c r="P1431" s="19"/>
      <c r="R1431" s="19"/>
    </row>
    <row r="1432" spans="2:18">
      <c r="B1432" s="19"/>
      <c r="G1432" s="19"/>
      <c r="P1432" s="19"/>
      <c r="R1432" s="19"/>
    </row>
    <row r="1433" spans="2:18">
      <c r="B1433" s="19"/>
      <c r="G1433" s="19"/>
      <c r="P1433" s="19"/>
      <c r="R1433" s="19"/>
    </row>
    <row r="1434" spans="2:18">
      <c r="B1434" s="19"/>
      <c r="G1434" s="19"/>
      <c r="P1434" s="19"/>
      <c r="R1434" s="19"/>
    </row>
    <row r="1435" spans="2:18">
      <c r="B1435" s="19"/>
      <c r="G1435" s="19"/>
      <c r="P1435" s="19"/>
      <c r="R1435" s="19"/>
    </row>
    <row r="1436" spans="2:18">
      <c r="B1436" s="19"/>
      <c r="G1436" s="19"/>
      <c r="P1436" s="19"/>
      <c r="R1436" s="19"/>
    </row>
    <row r="1437" spans="2:18">
      <c r="B1437" s="19"/>
      <c r="G1437" s="19"/>
      <c r="P1437" s="19"/>
      <c r="R1437" s="19"/>
    </row>
    <row r="1438" spans="2:18">
      <c r="B1438" s="19"/>
      <c r="G1438" s="19"/>
      <c r="P1438" s="19"/>
      <c r="R1438" s="19"/>
    </row>
    <row r="1439" spans="2:18">
      <c r="B1439" s="19"/>
      <c r="G1439" s="19"/>
      <c r="P1439" s="19"/>
      <c r="R1439" s="19"/>
    </row>
    <row r="1440" spans="2:18">
      <c r="B1440" s="19"/>
      <c r="G1440" s="19"/>
      <c r="P1440" s="19"/>
      <c r="R1440" s="19"/>
    </row>
    <row r="1441" spans="2:18">
      <c r="B1441" s="19"/>
      <c r="G1441" s="19"/>
      <c r="P1441" s="19"/>
      <c r="R1441" s="19"/>
    </row>
    <row r="1442" spans="2:18">
      <c r="B1442" s="19"/>
      <c r="G1442" s="19"/>
      <c r="P1442" s="19"/>
      <c r="R1442" s="19"/>
    </row>
    <row r="1443" spans="2:18">
      <c r="B1443" s="19"/>
      <c r="G1443" s="19"/>
      <c r="P1443" s="19"/>
      <c r="R1443" s="19"/>
    </row>
    <row r="1444" spans="2:18">
      <c r="B1444" s="19"/>
      <c r="G1444" s="19"/>
      <c r="P1444" s="19"/>
      <c r="R1444" s="19"/>
    </row>
    <row r="1445" spans="2:18">
      <c r="B1445" s="19"/>
      <c r="G1445" s="19"/>
      <c r="P1445" s="19"/>
      <c r="R1445" s="19"/>
    </row>
    <row r="1446" spans="2:18">
      <c r="B1446" s="19"/>
      <c r="G1446" s="19"/>
      <c r="P1446" s="19"/>
      <c r="R1446" s="19"/>
    </row>
    <row r="1447" spans="2:18">
      <c r="B1447" s="19"/>
      <c r="G1447" s="19"/>
      <c r="P1447" s="19"/>
      <c r="R1447" s="19"/>
    </row>
    <row r="1448" spans="2:18">
      <c r="B1448" s="19"/>
      <c r="G1448" s="19"/>
      <c r="P1448" s="19"/>
      <c r="R1448" s="19"/>
    </row>
    <row r="1449" spans="2:18">
      <c r="B1449" s="19"/>
      <c r="G1449" s="19"/>
      <c r="P1449" s="19"/>
      <c r="R1449" s="19"/>
    </row>
    <row r="1450" spans="2:18">
      <c r="B1450" s="19"/>
      <c r="G1450" s="19"/>
      <c r="P1450" s="19"/>
      <c r="R1450" s="19"/>
    </row>
    <row r="1451" spans="2:18">
      <c r="B1451" s="19"/>
      <c r="G1451" s="19"/>
      <c r="P1451" s="19"/>
      <c r="R1451" s="19"/>
    </row>
    <row r="1452" spans="2:18">
      <c r="B1452" s="19"/>
      <c r="G1452" s="19"/>
      <c r="P1452" s="19"/>
      <c r="R1452" s="19"/>
    </row>
    <row r="1453" spans="2:18">
      <c r="B1453" s="19"/>
      <c r="G1453" s="19"/>
      <c r="P1453" s="19"/>
      <c r="R1453" s="19"/>
    </row>
    <row r="1454" spans="2:18">
      <c r="B1454" s="19"/>
      <c r="G1454" s="19"/>
      <c r="P1454" s="19"/>
      <c r="R1454" s="19"/>
    </row>
    <row r="1455" spans="2:18">
      <c r="B1455" s="19"/>
      <c r="G1455" s="19"/>
      <c r="P1455" s="19"/>
      <c r="R1455" s="19"/>
    </row>
    <row r="1456" spans="2:18">
      <c r="B1456" s="19"/>
      <c r="G1456" s="19"/>
      <c r="P1456" s="19"/>
      <c r="R1456" s="19"/>
    </row>
    <row r="1457" spans="2:18">
      <c r="B1457" s="19"/>
      <c r="G1457" s="19"/>
      <c r="P1457" s="19"/>
      <c r="R1457" s="19"/>
    </row>
    <row r="1458" spans="2:18">
      <c r="B1458" s="19"/>
      <c r="G1458" s="19"/>
      <c r="P1458" s="19"/>
      <c r="R1458" s="19"/>
    </row>
    <row r="1459" spans="2:18">
      <c r="B1459" s="19"/>
      <c r="G1459" s="19"/>
      <c r="P1459" s="19"/>
      <c r="R1459" s="19"/>
    </row>
    <row r="1460" spans="2:18">
      <c r="B1460" s="19"/>
      <c r="G1460" s="19"/>
      <c r="P1460" s="19"/>
      <c r="R1460" s="19"/>
    </row>
    <row r="1461" spans="2:18">
      <c r="B1461" s="19"/>
      <c r="G1461" s="19"/>
      <c r="P1461" s="19"/>
      <c r="R1461" s="19"/>
    </row>
    <row r="1462" spans="2:18">
      <c r="B1462" s="19"/>
      <c r="G1462" s="19"/>
      <c r="P1462" s="19"/>
      <c r="R1462" s="19"/>
    </row>
    <row r="1463" spans="2:18">
      <c r="B1463" s="19"/>
      <c r="G1463" s="19"/>
      <c r="P1463" s="19"/>
      <c r="R1463" s="19"/>
    </row>
    <row r="1464" spans="2:18">
      <c r="B1464" s="19"/>
    </row>
    <row r="1465" spans="2:18">
      <c r="B1465" s="19"/>
    </row>
    <row r="1466" spans="2:18">
      <c r="B1466" s="19"/>
    </row>
    <row r="1467" spans="2:18">
      <c r="B1467" s="19"/>
    </row>
    <row r="1468" spans="2:18">
      <c r="B1468" s="19"/>
    </row>
    <row r="1469" spans="2:18">
      <c r="B1469" s="19"/>
    </row>
    <row r="1470" spans="2:18">
      <c r="B1470" s="19"/>
    </row>
    <row r="1471" spans="2:18">
      <c r="B1471" s="19"/>
    </row>
    <row r="1472" spans="2:18">
      <c r="B1472" s="19"/>
    </row>
    <row r="1473" spans="2:2">
      <c r="B1473" s="19"/>
    </row>
    <row r="1474" spans="2:2">
      <c r="B1474" s="19"/>
    </row>
    <row r="1475" spans="2:2">
      <c r="B1475" s="19"/>
    </row>
    <row r="1476" spans="2:2">
      <c r="B1476" s="19"/>
    </row>
    <row r="1477" spans="2:2">
      <c r="B1477" s="19"/>
    </row>
    <row r="1478" spans="2:2">
      <c r="B1478" s="19"/>
    </row>
    <row r="1479" spans="2:2">
      <c r="B1479" s="19"/>
    </row>
    <row r="1480" spans="2:2">
      <c r="B1480" s="19"/>
    </row>
    <row r="1481" spans="2:2">
      <c r="B1481" s="19"/>
    </row>
    <row r="1482" spans="2:2">
      <c r="B1482" s="19"/>
    </row>
    <row r="1483" spans="2:2">
      <c r="B1483" s="19"/>
    </row>
    <row r="1484" spans="2:2">
      <c r="B1484" s="19"/>
    </row>
    <row r="1485" spans="2:2">
      <c r="B1485" s="19"/>
    </row>
    <row r="1486" spans="2:2">
      <c r="B1486" s="19"/>
    </row>
    <row r="1487" spans="2:2">
      <c r="B1487" s="19"/>
    </row>
    <row r="1488" spans="2:2">
      <c r="B1488" s="19"/>
    </row>
    <row r="1489" spans="2:2">
      <c r="B1489" s="19"/>
    </row>
    <row r="1490" spans="2:2">
      <c r="B1490" s="19"/>
    </row>
    <row r="1491" spans="2:2">
      <c r="B1491" s="19"/>
    </row>
    <row r="1492" spans="2:2">
      <c r="B1492" s="19"/>
    </row>
    <row r="1493" spans="2:2">
      <c r="B1493" s="19"/>
    </row>
    <row r="1494" spans="2:2">
      <c r="B1494" s="19"/>
    </row>
    <row r="1495" spans="2:2">
      <c r="B1495" s="19"/>
    </row>
    <row r="1496" spans="2:2">
      <c r="B1496" s="19"/>
    </row>
    <row r="1497" spans="2:2">
      <c r="B1497" s="19"/>
    </row>
    <row r="1498" spans="2:2">
      <c r="B1498" s="19"/>
    </row>
    <row r="1499" spans="2:2">
      <c r="B1499" s="19"/>
    </row>
    <row r="1500" spans="2:2">
      <c r="B1500" s="19"/>
    </row>
    <row r="1501" spans="2:2">
      <c r="B1501" s="19"/>
    </row>
    <row r="1502" spans="2:2">
      <c r="B1502" s="19"/>
    </row>
    <row r="1503" spans="2:2">
      <c r="B1503" s="19"/>
    </row>
    <row r="1504" spans="2:2">
      <c r="B1504" s="19"/>
    </row>
    <row r="1505" spans="2:2">
      <c r="B1505" s="19"/>
    </row>
    <row r="1506" spans="2:2">
      <c r="B1506" s="19"/>
    </row>
    <row r="1507" spans="2:2">
      <c r="B1507" s="19"/>
    </row>
    <row r="1508" spans="2:2">
      <c r="B1508" s="19"/>
    </row>
    <row r="1509" spans="2:2">
      <c r="B1509" s="19"/>
    </row>
    <row r="1510" spans="2:2">
      <c r="B1510" s="19"/>
    </row>
    <row r="1511" spans="2:2">
      <c r="B1511" s="19"/>
    </row>
    <row r="1512" spans="2:2">
      <c r="B1512" s="19"/>
    </row>
    <row r="1513" spans="2:2">
      <c r="B1513" s="19"/>
    </row>
    <row r="1514" spans="2:2">
      <c r="B1514" s="19"/>
    </row>
    <row r="1515" spans="2:2">
      <c r="B1515" s="19"/>
    </row>
    <row r="1516" spans="2:2">
      <c r="B1516" s="19"/>
    </row>
    <row r="1517" spans="2:2">
      <c r="B1517" s="19"/>
    </row>
    <row r="1518" spans="2:2">
      <c r="B1518" s="19"/>
    </row>
    <row r="1519" spans="2:2">
      <c r="B1519" s="19"/>
    </row>
    <row r="1520" spans="2:2">
      <c r="B1520" s="19"/>
    </row>
    <row r="1521" spans="2:2">
      <c r="B1521" s="19"/>
    </row>
    <row r="1522" spans="2:2">
      <c r="B1522" s="19"/>
    </row>
    <row r="1523" spans="2:2">
      <c r="B1523" s="19"/>
    </row>
    <row r="1524" spans="2:2">
      <c r="B1524" s="19"/>
    </row>
    <row r="1525" spans="2:2">
      <c r="B1525" s="19"/>
    </row>
    <row r="1526" spans="2:2">
      <c r="B1526" s="19"/>
    </row>
    <row r="1527" spans="2:2">
      <c r="B1527" s="19"/>
    </row>
    <row r="1528" spans="2:2">
      <c r="B1528" s="19"/>
    </row>
    <row r="1529" spans="2:2">
      <c r="B1529" s="19"/>
    </row>
    <row r="1530" spans="2:2">
      <c r="B1530" s="19"/>
    </row>
    <row r="1531" spans="2:2">
      <c r="B1531" s="19"/>
    </row>
    <row r="1532" spans="2:2">
      <c r="B1532" s="19"/>
    </row>
    <row r="1533" spans="2:2">
      <c r="B1533" s="19"/>
    </row>
    <row r="1534" spans="2:2">
      <c r="B1534" s="19"/>
    </row>
    <row r="1535" spans="2:2">
      <c r="B1535" s="19"/>
    </row>
    <row r="1536" spans="2:2">
      <c r="B1536" s="19"/>
    </row>
    <row r="1537" spans="2:2">
      <c r="B1537" s="19"/>
    </row>
    <row r="1538" spans="2:2">
      <c r="B1538" s="19"/>
    </row>
    <row r="1539" spans="2:2">
      <c r="B1539" s="19"/>
    </row>
    <row r="1540" spans="2:2">
      <c r="B1540" s="19"/>
    </row>
    <row r="1541" spans="2:2">
      <c r="B1541" s="19"/>
    </row>
    <row r="1542" spans="2:2">
      <c r="B1542" s="19"/>
    </row>
    <row r="1543" spans="2:2">
      <c r="B1543" s="19"/>
    </row>
    <row r="1544" spans="2:2">
      <c r="B1544" s="19"/>
    </row>
    <row r="1545" spans="2:2">
      <c r="B1545" s="19"/>
    </row>
    <row r="1546" spans="2:2">
      <c r="B1546" s="19"/>
    </row>
    <row r="1547" spans="2:2">
      <c r="B1547" s="19"/>
    </row>
    <row r="1548" spans="2:2">
      <c r="B1548" s="19"/>
    </row>
    <row r="1549" spans="2:2">
      <c r="B1549" s="19"/>
    </row>
    <row r="1550" spans="2:2">
      <c r="B1550" s="19"/>
    </row>
    <row r="1551" spans="2:2">
      <c r="B1551" s="19"/>
    </row>
    <row r="1552" spans="2:2">
      <c r="B1552" s="19"/>
    </row>
    <row r="1553" spans="2:2">
      <c r="B1553" s="19"/>
    </row>
    <row r="1554" spans="2:2">
      <c r="B1554" s="19"/>
    </row>
    <row r="1555" spans="2:2">
      <c r="B1555" s="19"/>
    </row>
  </sheetData>
  <mergeCells count="20">
    <mergeCell ref="R16:S16"/>
    <mergeCell ref="G7:H7"/>
    <mergeCell ref="Q3:R4"/>
    <mergeCell ref="Q2:R2"/>
    <mergeCell ref="Q6:R6"/>
    <mergeCell ref="Q10:R10"/>
    <mergeCell ref="Q7:R8"/>
    <mergeCell ref="Q11:R12"/>
    <mergeCell ref="P16:Q16"/>
    <mergeCell ref="B15:D15"/>
    <mergeCell ref="G2:I2"/>
    <mergeCell ref="B16:F16"/>
    <mergeCell ref="G16:O16"/>
    <mergeCell ref="G3:O4"/>
    <mergeCell ref="I7:N7"/>
    <mergeCell ref="I9:N9"/>
    <mergeCell ref="I11:K11"/>
    <mergeCell ref="M11:N11"/>
    <mergeCell ref="G9:H9"/>
    <mergeCell ref="G11:H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0">
    <outlinePr showOutlineSymbols="0"/>
  </sheetPr>
  <dimension ref="A10:FE22"/>
  <sheetViews>
    <sheetView showGridLines="0" showRowColHeaders="0" showZeros="0" showOutlineSymbols="0" workbookViewId="0">
      <selection activeCell="G11" sqref="G11:L11"/>
    </sheetView>
  </sheetViews>
  <sheetFormatPr defaultRowHeight="15"/>
  <cols>
    <col min="1" max="161" width="9.140625" style="19"/>
  </cols>
  <sheetData>
    <row r="10" spans="5:13">
      <c r="E10" s="53"/>
      <c r="F10" s="2"/>
      <c r="G10" s="2"/>
      <c r="H10" s="2"/>
      <c r="I10" s="2"/>
      <c r="J10" s="2"/>
      <c r="K10" s="2"/>
      <c r="L10" s="2"/>
      <c r="M10" s="3"/>
    </row>
    <row r="11" spans="5:13" ht="15.75" customHeight="1">
      <c r="E11" s="101" t="s">
        <v>12</v>
      </c>
      <c r="F11" s="117"/>
      <c r="G11" s="96"/>
      <c r="H11" s="97"/>
      <c r="I11" s="97"/>
      <c r="J11" s="97"/>
      <c r="K11" s="97"/>
      <c r="L11" s="98"/>
      <c r="M11" s="6"/>
    </row>
    <row r="12" spans="5:13">
      <c r="E12" s="54"/>
      <c r="F12" s="5"/>
      <c r="G12" s="5"/>
      <c r="H12" s="5"/>
      <c r="I12" s="5"/>
      <c r="J12" s="5"/>
      <c r="K12" s="5"/>
      <c r="L12" s="5"/>
      <c r="M12" s="6"/>
    </row>
    <row r="13" spans="5:13" ht="15.75" customHeight="1">
      <c r="E13" s="101" t="s">
        <v>13</v>
      </c>
      <c r="F13" s="117"/>
      <c r="G13" s="96" t="e">
        <f>VLOOKUP(G11,BDserviços!A2:D1000000,2,0)</f>
        <v>#N/A</v>
      </c>
      <c r="H13" s="97"/>
      <c r="I13" s="97"/>
      <c r="J13" s="97"/>
      <c r="K13" s="97"/>
      <c r="L13" s="98"/>
      <c r="M13" s="6"/>
    </row>
    <row r="14" spans="5:13">
      <c r="E14" s="54"/>
      <c r="F14" s="5"/>
      <c r="G14" s="5"/>
      <c r="H14" s="5"/>
      <c r="I14" s="5"/>
      <c r="J14" s="5"/>
      <c r="K14" s="5"/>
      <c r="L14" s="5"/>
      <c r="M14" s="6"/>
    </row>
    <row r="15" spans="5:13" ht="15.75" customHeight="1">
      <c r="E15" s="101" t="s">
        <v>14</v>
      </c>
      <c r="F15" s="117"/>
      <c r="G15" s="96" t="e">
        <f>VLOOKUP(G11,BDserviços!A2:D1000000,3,0)</f>
        <v>#N/A</v>
      </c>
      <c r="H15" s="97"/>
      <c r="I15" s="98"/>
      <c r="J15" s="23" t="s">
        <v>15</v>
      </c>
      <c r="K15" s="118" t="e">
        <f>VLOOKUP(G11,BDserviços!A2:D1000000,4,0)</f>
        <v>#N/A</v>
      </c>
      <c r="L15" s="119"/>
      <c r="M15" s="6"/>
    </row>
    <row r="16" spans="5:13">
      <c r="E16" s="54"/>
      <c r="F16" s="5"/>
      <c r="G16" s="5"/>
      <c r="H16" s="5"/>
      <c r="I16" s="5"/>
      <c r="J16" s="5"/>
      <c r="K16" s="5"/>
      <c r="L16" s="5"/>
      <c r="M16" s="6"/>
    </row>
    <row r="17" spans="5:13">
      <c r="E17" s="54"/>
      <c r="F17" s="5"/>
      <c r="G17" s="5"/>
      <c r="H17" s="5"/>
      <c r="I17" s="5"/>
      <c r="J17" s="5"/>
      <c r="K17" s="5"/>
      <c r="L17" s="5"/>
      <c r="M17" s="6"/>
    </row>
    <row r="18" spans="5:13" ht="15.75" customHeight="1">
      <c r="E18" s="101" t="s">
        <v>35</v>
      </c>
      <c r="F18" s="117"/>
      <c r="G18" s="96"/>
      <c r="H18" s="97"/>
      <c r="I18" s="98"/>
      <c r="J18" s="23" t="s">
        <v>15</v>
      </c>
      <c r="K18" s="99" t="e">
        <f>G18*K15</f>
        <v>#N/A</v>
      </c>
      <c r="L18" s="100"/>
      <c r="M18" s="6"/>
    </row>
    <row r="19" spans="5:13">
      <c r="E19" s="54"/>
      <c r="F19" s="52"/>
      <c r="G19" s="52"/>
      <c r="H19" s="52"/>
      <c r="I19" s="52"/>
      <c r="J19" s="52"/>
      <c r="K19" s="52"/>
      <c r="L19" s="52"/>
      <c r="M19" s="61"/>
    </row>
    <row r="20" spans="5:13">
      <c r="E20" s="54"/>
      <c r="F20" s="52"/>
      <c r="G20" s="52"/>
      <c r="H20" s="52"/>
      <c r="I20" s="52"/>
      <c r="J20" s="52"/>
      <c r="K20" s="52"/>
      <c r="L20" s="52"/>
      <c r="M20" s="61"/>
    </row>
    <row r="21" spans="5:13">
      <c r="E21" s="54"/>
      <c r="F21" s="52"/>
      <c r="G21" s="52"/>
      <c r="H21" s="52"/>
      <c r="I21" s="52"/>
      <c r="J21" s="52"/>
      <c r="K21" s="52"/>
      <c r="L21" s="52"/>
      <c r="M21" s="61"/>
    </row>
    <row r="22" spans="5:13">
      <c r="E22" s="55"/>
      <c r="F22" s="56"/>
      <c r="G22" s="56"/>
      <c r="H22" s="56"/>
      <c r="I22" s="56"/>
      <c r="J22" s="56"/>
      <c r="K22" s="56"/>
      <c r="L22" s="56"/>
      <c r="M22" s="62"/>
    </row>
  </sheetData>
  <mergeCells count="10">
    <mergeCell ref="E18:F18"/>
    <mergeCell ref="G18:I18"/>
    <mergeCell ref="K18:L18"/>
    <mergeCell ref="E11:F11"/>
    <mergeCell ref="G11:L11"/>
    <mergeCell ref="E13:F13"/>
    <mergeCell ref="G13:L13"/>
    <mergeCell ref="E15:F15"/>
    <mergeCell ref="G15:I15"/>
    <mergeCell ref="K15:L15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7">
    <outlinePr showOutlineSymbols="0"/>
  </sheetPr>
  <dimension ref="A1:B12"/>
  <sheetViews>
    <sheetView showGridLines="0" showRowColHeaders="0" showZeros="0" showOutlineSymbols="0" workbookViewId="0">
      <selection activeCell="A2" sqref="A2"/>
    </sheetView>
  </sheetViews>
  <sheetFormatPr defaultRowHeight="15"/>
  <cols>
    <col min="1" max="1" width="19.42578125" customWidth="1"/>
  </cols>
  <sheetData>
    <row r="1" spans="1:2">
      <c r="A1" s="27"/>
      <c r="B1" s="43"/>
    </row>
    <row r="2" spans="1:2">
      <c r="A2" s="43"/>
    </row>
    <row r="3" spans="1:2">
      <c r="A3" s="43"/>
    </row>
    <row r="4" spans="1:2">
      <c r="A4" s="43"/>
    </row>
    <row r="5" spans="1:2">
      <c r="A5" s="43"/>
    </row>
    <row r="6" spans="1:2">
      <c r="A6" s="43"/>
    </row>
    <row r="7" spans="1:2">
      <c r="A7" s="43"/>
    </row>
    <row r="8" spans="1:2">
      <c r="A8" s="43"/>
    </row>
    <row r="9" spans="1:2">
      <c r="A9" s="43"/>
    </row>
    <row r="10" spans="1:2">
      <c r="A10" s="43"/>
    </row>
    <row r="11" spans="1:2">
      <c r="A11" s="43"/>
    </row>
    <row r="12" spans="1:2">
      <c r="A12" s="43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>
    <outlinePr showOutlineSymbols="0"/>
  </sheetPr>
  <dimension ref="A2:CJ34"/>
  <sheetViews>
    <sheetView showGridLines="0" showRowColHeaders="0" showZeros="0" showOutlineSymbols="0" workbookViewId="0">
      <selection activeCell="H10" sqref="H10:N10"/>
    </sheetView>
  </sheetViews>
  <sheetFormatPr defaultRowHeight="15"/>
  <cols>
    <col min="1" max="88" width="9.140625" style="19"/>
  </cols>
  <sheetData>
    <row r="2" spans="2:20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  <row r="3" spans="2:20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6"/>
    </row>
    <row r="4" spans="2:20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6"/>
    </row>
    <row r="5" spans="2:20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6"/>
    </row>
    <row r="6" spans="2:20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6"/>
    </row>
    <row r="7" spans="2:20">
      <c r="B7" s="4"/>
      <c r="C7" s="5"/>
      <c r="D7" s="5"/>
      <c r="E7" s="5"/>
      <c r="F7" s="5"/>
      <c r="G7" s="10"/>
      <c r="H7" s="11"/>
      <c r="I7" s="11"/>
      <c r="J7" s="11"/>
      <c r="K7" s="11"/>
      <c r="L7" s="11"/>
      <c r="M7" s="11"/>
      <c r="N7" s="11"/>
      <c r="O7" s="12"/>
      <c r="P7" s="5"/>
      <c r="Q7" s="5"/>
      <c r="R7" s="5"/>
      <c r="S7" s="5"/>
      <c r="T7" s="6"/>
    </row>
    <row r="8" spans="2:20">
      <c r="B8" s="4"/>
      <c r="C8" s="5"/>
      <c r="D8" s="5"/>
      <c r="E8" s="5"/>
      <c r="F8" s="5"/>
      <c r="G8" s="13"/>
      <c r="H8" s="14"/>
      <c r="I8" s="14"/>
      <c r="J8" s="14"/>
      <c r="K8" s="14"/>
      <c r="L8" s="14"/>
      <c r="M8" s="14"/>
      <c r="N8" s="14"/>
      <c r="O8" s="15"/>
      <c r="P8" s="5"/>
      <c r="Q8" s="5"/>
      <c r="R8" s="5"/>
      <c r="S8" s="5"/>
      <c r="T8" s="6"/>
    </row>
    <row r="9" spans="2:20" ht="15.75">
      <c r="B9" s="4"/>
      <c r="C9" s="5"/>
      <c r="D9" s="5"/>
      <c r="E9" s="5"/>
      <c r="F9" s="5"/>
      <c r="G9" s="13"/>
      <c r="H9" s="121" t="s">
        <v>17</v>
      </c>
      <c r="I9" s="121"/>
      <c r="J9" s="14"/>
      <c r="K9" s="14"/>
      <c r="L9" s="14"/>
      <c r="M9" s="14"/>
      <c r="N9" s="14"/>
      <c r="O9" s="15"/>
      <c r="P9" s="5"/>
      <c r="Q9" s="5"/>
      <c r="R9" s="5"/>
      <c r="S9" s="5"/>
      <c r="T9" s="6"/>
    </row>
    <row r="10" spans="2:20">
      <c r="B10" s="4"/>
      <c r="C10" s="5"/>
      <c r="D10" s="5"/>
      <c r="E10" s="5"/>
      <c r="F10" s="5"/>
      <c r="G10" s="13"/>
      <c r="H10" s="96"/>
      <c r="I10" s="97"/>
      <c r="J10" s="97"/>
      <c r="K10" s="97"/>
      <c r="L10" s="97"/>
      <c r="M10" s="97"/>
      <c r="N10" s="98"/>
      <c r="O10" s="15"/>
      <c r="P10" s="5"/>
      <c r="Q10" s="5"/>
      <c r="R10" s="5"/>
      <c r="S10" s="5"/>
      <c r="T10" s="6"/>
    </row>
    <row r="11" spans="2:20">
      <c r="B11" s="4"/>
      <c r="C11" s="5"/>
      <c r="D11" s="5"/>
      <c r="E11" s="5"/>
      <c r="F11" s="5"/>
      <c r="G11" s="13"/>
      <c r="H11" s="14"/>
      <c r="I11" s="14"/>
      <c r="J11" s="14"/>
      <c r="K11" s="14"/>
      <c r="L11" s="14"/>
      <c r="M11" s="14"/>
      <c r="N11" s="14"/>
      <c r="O11" s="15"/>
      <c r="P11" s="5"/>
      <c r="Q11" s="5"/>
      <c r="R11" s="5"/>
      <c r="S11" s="5"/>
      <c r="T11" s="6"/>
    </row>
    <row r="12" spans="2:20" ht="15.75">
      <c r="B12" s="4"/>
      <c r="C12" s="5"/>
      <c r="D12" s="5"/>
      <c r="E12" s="5"/>
      <c r="F12" s="5"/>
      <c r="G12" s="13"/>
      <c r="H12" s="122" t="s">
        <v>18</v>
      </c>
      <c r="I12" s="122"/>
      <c r="J12" s="14"/>
      <c r="K12" s="14"/>
      <c r="L12" s="14"/>
      <c r="M12" s="14"/>
      <c r="N12" s="14"/>
      <c r="O12" s="15"/>
      <c r="P12" s="5"/>
      <c r="Q12" s="5"/>
      <c r="R12" s="5"/>
      <c r="S12" s="5"/>
      <c r="T12" s="6"/>
    </row>
    <row r="13" spans="2:20">
      <c r="B13" s="4"/>
      <c r="C13" s="5"/>
      <c r="D13" s="5"/>
      <c r="E13" s="5"/>
      <c r="F13" s="5"/>
      <c r="G13" s="13"/>
      <c r="H13" s="96"/>
      <c r="I13" s="97"/>
      <c r="J13" s="97"/>
      <c r="K13" s="97"/>
      <c r="L13" s="97"/>
      <c r="M13" s="97"/>
      <c r="N13" s="98"/>
      <c r="O13" s="15"/>
      <c r="P13" s="5"/>
      <c r="Q13" s="5"/>
      <c r="R13" s="5"/>
      <c r="S13" s="5"/>
      <c r="T13" s="6"/>
    </row>
    <row r="14" spans="2:20">
      <c r="B14" s="4"/>
      <c r="C14" s="5"/>
      <c r="D14" s="5"/>
      <c r="E14" s="5"/>
      <c r="F14" s="5"/>
      <c r="G14" s="13"/>
      <c r="H14" s="14"/>
      <c r="I14" s="14"/>
      <c r="J14" s="14"/>
      <c r="K14" s="14"/>
      <c r="L14" s="14"/>
      <c r="M14" s="14"/>
      <c r="N14" s="14"/>
      <c r="O14" s="15"/>
      <c r="P14" s="5"/>
      <c r="Q14" s="5"/>
      <c r="R14" s="5"/>
      <c r="S14" s="5"/>
      <c r="T14" s="6"/>
    </row>
    <row r="15" spans="2:20" ht="15.75">
      <c r="B15" s="4"/>
      <c r="C15" s="5"/>
      <c r="D15" s="5"/>
      <c r="E15" s="5"/>
      <c r="F15" s="5"/>
      <c r="G15" s="13"/>
      <c r="H15" s="122" t="s">
        <v>19</v>
      </c>
      <c r="I15" s="122"/>
      <c r="J15" s="14"/>
      <c r="K15" s="14"/>
      <c r="L15" s="14"/>
      <c r="M15" s="14"/>
      <c r="N15" s="14"/>
      <c r="O15" s="15"/>
      <c r="P15" s="5"/>
      <c r="Q15" s="5"/>
      <c r="R15" s="5"/>
      <c r="S15" s="5"/>
      <c r="T15" s="6"/>
    </row>
    <row r="16" spans="2:20">
      <c r="B16" s="4"/>
      <c r="C16" s="5"/>
      <c r="D16" s="5"/>
      <c r="E16" s="5"/>
      <c r="F16" s="5"/>
      <c r="G16" s="13"/>
      <c r="H16" s="96"/>
      <c r="I16" s="97"/>
      <c r="J16" s="98"/>
      <c r="K16" s="14"/>
      <c r="L16" s="14"/>
      <c r="M16" s="14"/>
      <c r="N16" s="14"/>
      <c r="O16" s="15"/>
      <c r="P16" s="5"/>
      <c r="Q16" s="5"/>
      <c r="R16" s="5"/>
      <c r="S16" s="5"/>
      <c r="T16" s="6"/>
    </row>
    <row r="17" spans="2:20">
      <c r="B17" s="4"/>
      <c r="C17" s="5"/>
      <c r="D17" s="5"/>
      <c r="E17" s="5"/>
      <c r="F17" s="5"/>
      <c r="G17" s="13"/>
      <c r="H17" s="14"/>
      <c r="I17" s="14"/>
      <c r="J17" s="14"/>
      <c r="K17" s="14"/>
      <c r="L17" s="14"/>
      <c r="M17" s="14"/>
      <c r="N17" s="14"/>
      <c r="O17" s="15"/>
      <c r="P17" s="5"/>
      <c r="Q17" s="5"/>
      <c r="R17" s="5"/>
      <c r="S17" s="5"/>
      <c r="T17" s="6"/>
    </row>
    <row r="18" spans="2:20" ht="15.75">
      <c r="B18" s="4"/>
      <c r="C18" s="5"/>
      <c r="D18" s="5"/>
      <c r="E18" s="5"/>
      <c r="F18" s="5"/>
      <c r="G18" s="13"/>
      <c r="H18" s="25" t="s">
        <v>15</v>
      </c>
      <c r="I18" s="14"/>
      <c r="J18" s="14"/>
      <c r="K18" s="14"/>
      <c r="L18" s="14"/>
      <c r="M18" s="14"/>
      <c r="N18" s="14"/>
      <c r="O18" s="15"/>
      <c r="P18" s="5"/>
      <c r="Q18" s="5"/>
      <c r="R18" s="5"/>
      <c r="S18" s="5"/>
      <c r="T18" s="6"/>
    </row>
    <row r="19" spans="2:20">
      <c r="B19" s="4"/>
      <c r="C19" s="5"/>
      <c r="D19" s="5"/>
      <c r="E19" s="5"/>
      <c r="F19" s="5"/>
      <c r="G19" s="13"/>
      <c r="H19" s="99"/>
      <c r="I19" s="120"/>
      <c r="J19" s="100"/>
      <c r="K19" s="14"/>
      <c r="L19" s="14"/>
      <c r="M19" s="14"/>
      <c r="N19" s="14"/>
      <c r="O19" s="15"/>
      <c r="P19" s="5"/>
      <c r="Q19" s="5"/>
      <c r="R19" s="5"/>
      <c r="S19" s="5"/>
      <c r="T19" s="6"/>
    </row>
    <row r="20" spans="2:20">
      <c r="B20" s="4"/>
      <c r="C20" s="5"/>
      <c r="D20" s="5"/>
      <c r="E20" s="5"/>
      <c r="F20" s="5"/>
      <c r="G20" s="13"/>
      <c r="H20" s="14"/>
      <c r="I20" s="14"/>
      <c r="J20" s="14"/>
      <c r="K20" s="14"/>
      <c r="L20" s="14"/>
      <c r="M20" s="14"/>
      <c r="N20" s="14"/>
      <c r="O20" s="15"/>
      <c r="P20" s="5"/>
      <c r="Q20" s="5"/>
      <c r="R20" s="5"/>
      <c r="S20" s="5"/>
      <c r="T20" s="6"/>
    </row>
    <row r="21" spans="2:20" ht="15.75">
      <c r="B21" s="4"/>
      <c r="C21" s="5"/>
      <c r="D21" s="5"/>
      <c r="E21" s="5"/>
      <c r="F21" s="5"/>
      <c r="G21" s="13"/>
      <c r="H21" s="25" t="s">
        <v>20</v>
      </c>
      <c r="I21" s="14"/>
      <c r="J21" s="14"/>
      <c r="K21" s="14"/>
      <c r="L21" s="14"/>
      <c r="M21" s="14"/>
      <c r="N21" s="14"/>
      <c r="O21" s="15"/>
      <c r="P21" s="5"/>
      <c r="Q21" s="5"/>
      <c r="R21" s="5"/>
      <c r="S21" s="5"/>
      <c r="T21" s="6"/>
    </row>
    <row r="22" spans="2:20">
      <c r="B22" s="4"/>
      <c r="C22" s="5"/>
      <c r="D22" s="5"/>
      <c r="E22" s="5"/>
      <c r="F22" s="5"/>
      <c r="G22" s="13"/>
      <c r="H22" s="26"/>
      <c r="I22" s="14"/>
      <c r="J22" s="14"/>
      <c r="K22" s="14"/>
      <c r="L22" s="14"/>
      <c r="M22" s="14"/>
      <c r="N22" s="14"/>
      <c r="O22" s="15"/>
      <c r="P22" s="5"/>
      <c r="Q22" s="5"/>
      <c r="R22" s="5"/>
      <c r="S22" s="5"/>
      <c r="T22" s="6"/>
    </row>
    <row r="23" spans="2:20">
      <c r="B23" s="4"/>
      <c r="C23" s="5"/>
      <c r="D23" s="5"/>
      <c r="E23" s="5"/>
      <c r="F23" s="5"/>
      <c r="G23" s="13"/>
      <c r="H23" s="10"/>
      <c r="I23" s="11"/>
      <c r="J23" s="11"/>
      <c r="K23" s="11"/>
      <c r="L23" s="11"/>
      <c r="M23" s="11"/>
      <c r="N23" s="12"/>
      <c r="O23" s="15"/>
      <c r="P23" s="5"/>
      <c r="Q23" s="5"/>
      <c r="R23" s="5"/>
      <c r="S23" s="5"/>
      <c r="T23" s="6"/>
    </row>
    <row r="24" spans="2:20">
      <c r="B24" s="4"/>
      <c r="C24" s="5"/>
      <c r="D24" s="5"/>
      <c r="E24" s="5"/>
      <c r="F24" s="5"/>
      <c r="G24" s="13"/>
      <c r="H24" s="13"/>
      <c r="I24" s="14"/>
      <c r="J24" s="14"/>
      <c r="K24" s="14"/>
      <c r="L24" s="14"/>
      <c r="M24" s="14"/>
      <c r="N24" s="15"/>
      <c r="O24" s="15"/>
      <c r="P24" s="5"/>
      <c r="Q24" s="5"/>
      <c r="R24" s="5"/>
      <c r="S24" s="5"/>
      <c r="T24" s="6"/>
    </row>
    <row r="25" spans="2:20">
      <c r="B25" s="4"/>
      <c r="C25" s="5"/>
      <c r="D25" s="5"/>
      <c r="E25" s="5"/>
      <c r="F25" s="5"/>
      <c r="G25" s="13"/>
      <c r="H25" s="13"/>
      <c r="I25" s="14"/>
      <c r="J25" s="14"/>
      <c r="K25" s="14"/>
      <c r="L25" s="14"/>
      <c r="M25" s="14"/>
      <c r="N25" s="15"/>
      <c r="O25" s="15"/>
      <c r="P25" s="5"/>
      <c r="Q25" s="5"/>
      <c r="R25" s="5"/>
      <c r="S25" s="5"/>
      <c r="T25" s="6"/>
    </row>
    <row r="26" spans="2:20">
      <c r="B26" s="4"/>
      <c r="C26" s="5"/>
      <c r="D26" s="5"/>
      <c r="E26" s="5"/>
      <c r="F26" s="5"/>
      <c r="G26" s="13"/>
      <c r="H26" s="13"/>
      <c r="I26" s="14"/>
      <c r="J26" s="14"/>
      <c r="K26" s="14"/>
      <c r="L26" s="14"/>
      <c r="M26" s="14"/>
      <c r="N26" s="15"/>
      <c r="O26" s="15"/>
      <c r="P26" s="5"/>
      <c r="Q26" s="5"/>
      <c r="R26" s="5"/>
      <c r="S26" s="5"/>
      <c r="T26" s="6"/>
    </row>
    <row r="27" spans="2:20">
      <c r="B27" s="4"/>
      <c r="C27" s="5"/>
      <c r="D27" s="5"/>
      <c r="E27" s="5"/>
      <c r="F27" s="5"/>
      <c r="G27" s="13"/>
      <c r="H27" s="13"/>
      <c r="I27" s="14"/>
      <c r="J27" s="14"/>
      <c r="K27" s="14"/>
      <c r="L27" s="14"/>
      <c r="M27" s="14"/>
      <c r="N27" s="15"/>
      <c r="O27" s="15"/>
      <c r="P27" s="5"/>
      <c r="Q27" s="5"/>
      <c r="R27" s="5"/>
      <c r="S27" s="5"/>
      <c r="T27" s="6"/>
    </row>
    <row r="28" spans="2:20">
      <c r="B28" s="4"/>
      <c r="C28" s="5"/>
      <c r="D28" s="5"/>
      <c r="E28" s="5"/>
      <c r="F28" s="5"/>
      <c r="G28" s="13"/>
      <c r="H28" s="13"/>
      <c r="I28" s="14"/>
      <c r="J28" s="14"/>
      <c r="K28" s="14"/>
      <c r="L28" s="14"/>
      <c r="M28" s="14"/>
      <c r="N28" s="15"/>
      <c r="O28" s="15"/>
      <c r="P28" s="5"/>
      <c r="Q28" s="5"/>
      <c r="R28" s="5"/>
      <c r="S28" s="5"/>
      <c r="T28" s="6"/>
    </row>
    <row r="29" spans="2:20">
      <c r="B29" s="4"/>
      <c r="C29" s="5"/>
      <c r="D29" s="5"/>
      <c r="E29" s="5"/>
      <c r="F29" s="5"/>
      <c r="G29" s="13"/>
      <c r="H29" s="16"/>
      <c r="I29" s="17"/>
      <c r="J29" s="17"/>
      <c r="K29" s="17"/>
      <c r="L29" s="17"/>
      <c r="M29" s="17"/>
      <c r="N29" s="18"/>
      <c r="O29" s="15"/>
      <c r="P29" s="5"/>
      <c r="Q29" s="5"/>
      <c r="R29" s="5"/>
      <c r="S29" s="5"/>
      <c r="T29" s="6"/>
    </row>
    <row r="30" spans="2:20">
      <c r="B30" s="4"/>
      <c r="C30" s="5"/>
      <c r="D30" s="5"/>
      <c r="E30" s="5"/>
      <c r="F30" s="5"/>
      <c r="G30" s="13"/>
      <c r="H30" s="14"/>
      <c r="I30" s="14"/>
      <c r="J30" s="14"/>
      <c r="K30" s="14"/>
      <c r="L30" s="14"/>
      <c r="M30" s="14"/>
      <c r="N30" s="14"/>
      <c r="O30" s="15"/>
      <c r="P30" s="5"/>
      <c r="Q30" s="5"/>
      <c r="R30" s="5"/>
      <c r="S30" s="5"/>
      <c r="T30" s="6"/>
    </row>
    <row r="31" spans="2:20">
      <c r="B31" s="4"/>
      <c r="C31" s="5"/>
      <c r="D31" s="5"/>
      <c r="E31" s="5"/>
      <c r="F31" s="5"/>
      <c r="G31" s="16"/>
      <c r="H31" s="17"/>
      <c r="I31" s="17"/>
      <c r="J31" s="17"/>
      <c r="K31" s="17"/>
      <c r="L31" s="17"/>
      <c r="M31" s="17"/>
      <c r="N31" s="17"/>
      <c r="O31" s="18"/>
      <c r="P31" s="5"/>
      <c r="Q31" s="5"/>
      <c r="R31" s="5"/>
      <c r="S31" s="5"/>
      <c r="T31" s="6"/>
    </row>
    <row r="32" spans="2:20"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6"/>
    </row>
    <row r="33" spans="2:20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9"/>
    </row>
    <row r="34" spans="2:20">
      <c r="L34" s="19" t="s">
        <v>30</v>
      </c>
    </row>
  </sheetData>
  <mergeCells count="7">
    <mergeCell ref="H16:J16"/>
    <mergeCell ref="H19:J19"/>
    <mergeCell ref="H9:I9"/>
    <mergeCell ref="H12:I12"/>
    <mergeCell ref="H15:I15"/>
    <mergeCell ref="H10:N10"/>
    <mergeCell ref="H13:N1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6">
    <outlinePr showOutlineSymbols="0"/>
  </sheetPr>
  <dimension ref="A1:D52"/>
  <sheetViews>
    <sheetView showGridLines="0" showRowColHeaders="0" showZeros="0" showOutlineSymbols="0" workbookViewId="0">
      <selection activeCell="A2" sqref="A2"/>
    </sheetView>
  </sheetViews>
  <sheetFormatPr defaultRowHeight="15"/>
  <cols>
    <col min="1" max="1" width="18.28515625" customWidth="1"/>
    <col min="2" max="2" width="51.5703125" customWidth="1"/>
    <col min="3" max="3" width="12.140625" customWidth="1"/>
    <col min="4" max="4" width="9.140625" style="45"/>
  </cols>
  <sheetData>
    <row r="1" spans="1:4">
      <c r="A1" s="27" t="s">
        <v>21</v>
      </c>
      <c r="B1" s="27" t="s">
        <v>22</v>
      </c>
      <c r="C1" s="27" t="s">
        <v>10</v>
      </c>
      <c r="D1" s="44" t="s">
        <v>11</v>
      </c>
    </row>
    <row r="2" spans="1:4">
      <c r="D2"/>
    </row>
    <row r="3" spans="1:4">
      <c r="D3"/>
    </row>
    <row r="4" spans="1:4">
      <c r="D4"/>
    </row>
    <row r="5" spans="1:4">
      <c r="D5" s="59"/>
    </row>
    <row r="6" spans="1:4">
      <c r="D6" s="59"/>
    </row>
    <row r="7" spans="1:4">
      <c r="D7" s="59"/>
    </row>
    <row r="8" spans="1:4">
      <c r="D8" s="59"/>
    </row>
    <row r="9" spans="1:4">
      <c r="D9" s="59"/>
    </row>
    <row r="10" spans="1:4">
      <c r="D10" s="59"/>
    </row>
    <row r="11" spans="1:4">
      <c r="D11" s="59"/>
    </row>
    <row r="12" spans="1:4">
      <c r="D12" s="59"/>
    </row>
    <row r="13" spans="1:4">
      <c r="D13" s="59"/>
    </row>
    <row r="14" spans="1:4">
      <c r="C14" s="43"/>
      <c r="D14" s="59"/>
    </row>
    <row r="15" spans="1:4">
      <c r="D15" s="59"/>
    </row>
    <row r="16" spans="1:4">
      <c r="D16" s="59"/>
    </row>
    <row r="17" spans="2:4">
      <c r="C17" s="43"/>
      <c r="D17" s="43"/>
    </row>
    <row r="18" spans="2:4">
      <c r="B18" s="43"/>
      <c r="D18" s="43"/>
    </row>
    <row r="19" spans="2:4">
      <c r="D19"/>
    </row>
    <row r="20" spans="2:4">
      <c r="B20" s="43"/>
      <c r="C20" s="43"/>
      <c r="D20"/>
    </row>
    <row r="21" spans="2:4">
      <c r="D21" s="43"/>
    </row>
    <row r="22" spans="2:4">
      <c r="B22" s="43"/>
      <c r="D22" s="43"/>
    </row>
    <row r="23" spans="2:4">
      <c r="C23" s="43"/>
      <c r="D23"/>
    </row>
    <row r="24" spans="2:4">
      <c r="B24" s="43"/>
      <c r="D24"/>
    </row>
    <row r="25" spans="2:4">
      <c r="D25" s="43"/>
    </row>
    <row r="26" spans="2:4">
      <c r="B26" s="43"/>
      <c r="C26" s="43"/>
      <c r="D26" s="43"/>
    </row>
    <row r="27" spans="2:4">
      <c r="D27"/>
    </row>
    <row r="28" spans="2:4">
      <c r="B28" s="43"/>
      <c r="D28"/>
    </row>
    <row r="29" spans="2:4">
      <c r="C29" s="43"/>
      <c r="D29" s="43"/>
    </row>
    <row r="30" spans="2:4">
      <c r="B30" s="43"/>
      <c r="D30" s="43"/>
    </row>
    <row r="31" spans="2:4">
      <c r="D31"/>
    </row>
    <row r="32" spans="2:4">
      <c r="C32" s="43"/>
      <c r="D32"/>
    </row>
    <row r="33" spans="4:4">
      <c r="D33" s="43"/>
    </row>
    <row r="34" spans="4:4">
      <c r="D34" s="43"/>
    </row>
    <row r="35" spans="4:4">
      <c r="D35"/>
    </row>
    <row r="36" spans="4:4">
      <c r="D36"/>
    </row>
    <row r="37" spans="4:4">
      <c r="D37" s="43"/>
    </row>
    <row r="38" spans="4:4">
      <c r="D38" s="43"/>
    </row>
    <row r="39" spans="4:4">
      <c r="D39"/>
    </row>
    <row r="40" spans="4:4">
      <c r="D40"/>
    </row>
    <row r="41" spans="4:4">
      <c r="D41" s="43"/>
    </row>
    <row r="42" spans="4:4">
      <c r="D42" s="43"/>
    </row>
    <row r="43" spans="4:4">
      <c r="D43"/>
    </row>
    <row r="44" spans="4:4">
      <c r="D44"/>
    </row>
    <row r="45" spans="4:4">
      <c r="D45" s="43"/>
    </row>
    <row r="46" spans="4:4">
      <c r="D46" s="43"/>
    </row>
    <row r="47" spans="4:4">
      <c r="D47" s="43"/>
    </row>
    <row r="48" spans="4:4">
      <c r="D48" s="43"/>
    </row>
    <row r="49" spans="4:4">
      <c r="D49" s="43"/>
    </row>
    <row r="50" spans="4:4">
      <c r="D50" s="43"/>
    </row>
    <row r="51" spans="4:4">
      <c r="D51" s="43"/>
    </row>
    <row r="52" spans="4:4">
      <c r="D52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>
    <outlinePr showOutlineSymbols="0"/>
  </sheetPr>
  <dimension ref="A4:GL34"/>
  <sheetViews>
    <sheetView showGridLines="0" showRowColHeaders="0" showZeros="0" showOutlineSymbols="0" workbookViewId="0">
      <selection activeCell="H5" sqref="H5:N5"/>
    </sheetView>
  </sheetViews>
  <sheetFormatPr defaultRowHeight="15"/>
  <cols>
    <col min="1" max="194" width="9.140625" style="24"/>
  </cols>
  <sheetData>
    <row r="4" spans="6:15" ht="15.75">
      <c r="G4" s="38"/>
      <c r="H4" s="39"/>
      <c r="I4" s="30"/>
      <c r="J4" s="30"/>
      <c r="K4" s="30"/>
      <c r="L4" s="30"/>
      <c r="M4" s="30"/>
      <c r="N4" s="30"/>
      <c r="O4" s="31"/>
    </row>
    <row r="5" spans="6:15" ht="15.75">
      <c r="G5" s="40" t="s">
        <v>31</v>
      </c>
      <c r="H5" s="127"/>
      <c r="I5" s="128"/>
      <c r="J5" s="128"/>
      <c r="K5" s="128"/>
      <c r="L5" s="128"/>
      <c r="M5" s="128"/>
      <c r="N5" s="129"/>
      <c r="O5" s="34"/>
    </row>
    <row r="6" spans="6:15" ht="15.75">
      <c r="G6" s="40"/>
      <c r="H6" s="41"/>
      <c r="I6" s="33"/>
      <c r="J6" s="33"/>
      <c r="K6" s="33"/>
      <c r="L6" s="33"/>
      <c r="M6" s="33"/>
      <c r="N6" s="33"/>
      <c r="O6" s="34"/>
    </row>
    <row r="7" spans="6:15" ht="15.75">
      <c r="F7" s="24" t="s">
        <v>30</v>
      </c>
      <c r="G7" s="40" t="s">
        <v>23</v>
      </c>
      <c r="H7" s="127"/>
      <c r="I7" s="128"/>
      <c r="J7" s="128"/>
      <c r="K7" s="128"/>
      <c r="L7" s="128"/>
      <c r="M7" s="128"/>
      <c r="N7" s="129"/>
      <c r="O7" s="34"/>
    </row>
    <row r="8" spans="6:15" ht="15.75">
      <c r="G8" s="40"/>
      <c r="H8" s="41"/>
      <c r="I8" s="33"/>
      <c r="J8" s="33"/>
      <c r="K8" s="33"/>
      <c r="L8" s="33"/>
      <c r="M8" s="33"/>
      <c r="N8" s="33"/>
      <c r="O8" s="34"/>
    </row>
    <row r="9" spans="6:15" ht="15.75">
      <c r="G9" s="40" t="s">
        <v>24</v>
      </c>
      <c r="H9" s="127"/>
      <c r="I9" s="128"/>
      <c r="J9" s="128"/>
      <c r="K9" s="128"/>
      <c r="L9" s="128"/>
      <c r="M9" s="128"/>
      <c r="N9" s="129"/>
      <c r="O9" s="34"/>
    </row>
    <row r="10" spans="6:15" ht="15.75">
      <c r="G10" s="40"/>
      <c r="H10" s="41"/>
      <c r="I10" s="33"/>
      <c r="J10" s="33"/>
      <c r="K10" s="33"/>
      <c r="L10" s="33"/>
      <c r="M10" s="33"/>
      <c r="N10" s="33"/>
      <c r="O10" s="34"/>
    </row>
    <row r="11" spans="6:15" ht="15.75">
      <c r="G11" s="40" t="s">
        <v>25</v>
      </c>
      <c r="H11" s="127"/>
      <c r="I11" s="129"/>
      <c r="J11" s="33"/>
      <c r="K11" s="33"/>
      <c r="L11" s="33"/>
      <c r="M11" s="33"/>
      <c r="N11" s="33"/>
      <c r="O11" s="34"/>
    </row>
    <row r="12" spans="6:15" ht="15.75">
      <c r="G12" s="40"/>
      <c r="H12" s="41"/>
      <c r="I12" s="33"/>
      <c r="J12" s="33"/>
      <c r="K12" s="33"/>
      <c r="L12" s="33"/>
      <c r="M12" s="33"/>
      <c r="N12" s="33"/>
      <c r="O12" s="34"/>
    </row>
    <row r="13" spans="6:15" ht="15.75">
      <c r="G13" s="40" t="s">
        <v>26</v>
      </c>
      <c r="H13" s="41"/>
      <c r="I13" s="33"/>
      <c r="J13" s="96"/>
      <c r="K13" s="97"/>
      <c r="L13" s="98"/>
      <c r="M13" s="33"/>
      <c r="N13" s="33"/>
      <c r="O13" s="34"/>
    </row>
    <row r="14" spans="6:15" ht="15.75">
      <c r="G14" s="40"/>
      <c r="H14" s="41"/>
      <c r="I14" s="33"/>
      <c r="J14" s="33"/>
      <c r="K14" s="33"/>
      <c r="L14" s="33"/>
      <c r="M14" s="33"/>
      <c r="N14" s="33"/>
      <c r="O14" s="34"/>
    </row>
    <row r="15" spans="6:15" ht="15.75">
      <c r="G15" s="40" t="s">
        <v>27</v>
      </c>
      <c r="H15" s="41"/>
      <c r="I15" s="33"/>
      <c r="J15" s="123"/>
      <c r="K15" s="124"/>
      <c r="L15" s="125"/>
      <c r="M15" s="33"/>
      <c r="N15" s="33"/>
      <c r="O15" s="34"/>
    </row>
    <row r="16" spans="6:15" ht="15.75">
      <c r="G16" s="40"/>
      <c r="H16" s="41"/>
      <c r="I16" s="33"/>
      <c r="J16" s="33"/>
      <c r="K16" s="33"/>
      <c r="L16" s="33"/>
      <c r="M16" s="33"/>
      <c r="N16" s="33"/>
      <c r="O16" s="34"/>
    </row>
    <row r="17" spans="7:15" ht="15.75">
      <c r="G17" s="40" t="s">
        <v>29</v>
      </c>
      <c r="H17" s="41"/>
      <c r="I17" s="33"/>
      <c r="J17" s="96"/>
      <c r="K17" s="97"/>
      <c r="L17" s="98"/>
      <c r="M17" s="33"/>
      <c r="N17" s="33"/>
      <c r="O17" s="34"/>
    </row>
    <row r="18" spans="7:15" ht="15.75">
      <c r="G18" s="40"/>
      <c r="H18" s="41"/>
      <c r="I18" s="33"/>
      <c r="J18" s="33"/>
      <c r="K18" s="33"/>
      <c r="L18" s="33"/>
      <c r="M18" s="33"/>
      <c r="N18" s="33"/>
      <c r="O18" s="34"/>
    </row>
    <row r="19" spans="7:15" ht="15.75">
      <c r="G19" s="40" t="s">
        <v>28</v>
      </c>
      <c r="H19" s="41"/>
      <c r="I19" s="33"/>
      <c r="J19" s="126"/>
      <c r="K19" s="97"/>
      <c r="L19" s="98"/>
      <c r="M19" s="33"/>
      <c r="N19" s="33"/>
      <c r="O19" s="34"/>
    </row>
    <row r="20" spans="7:15" ht="15.75">
      <c r="G20" s="40"/>
      <c r="H20" s="41"/>
      <c r="I20" s="33"/>
      <c r="J20" s="33"/>
      <c r="K20" s="33"/>
      <c r="L20" s="33"/>
      <c r="M20" s="33"/>
      <c r="N20" s="33"/>
      <c r="O20" s="34"/>
    </row>
    <row r="21" spans="7:15" ht="15.75">
      <c r="G21" s="38"/>
      <c r="H21" s="39"/>
      <c r="I21" s="30"/>
      <c r="J21" s="30"/>
      <c r="K21" s="30"/>
      <c r="L21" s="30"/>
      <c r="M21" s="30"/>
      <c r="N21" s="30"/>
      <c r="O21" s="31"/>
    </row>
    <row r="22" spans="7:15">
      <c r="G22" s="32"/>
      <c r="H22" s="29"/>
      <c r="I22" s="30"/>
      <c r="J22" s="30"/>
      <c r="K22" s="30"/>
      <c r="L22" s="30"/>
      <c r="M22" s="30"/>
      <c r="N22" s="31"/>
      <c r="O22" s="34"/>
    </row>
    <row r="23" spans="7:15">
      <c r="G23" s="32"/>
      <c r="H23" s="32"/>
      <c r="I23" s="33"/>
      <c r="J23" s="33"/>
      <c r="K23" s="33"/>
      <c r="L23" s="33"/>
      <c r="M23" s="33"/>
      <c r="N23" s="34"/>
      <c r="O23" s="34"/>
    </row>
    <row r="24" spans="7:15">
      <c r="G24" s="32"/>
      <c r="H24" s="32"/>
      <c r="I24" s="33"/>
      <c r="J24" s="33"/>
      <c r="K24" s="33"/>
      <c r="L24" s="33"/>
      <c r="M24" s="33"/>
      <c r="N24" s="34"/>
      <c r="O24" s="34"/>
    </row>
    <row r="25" spans="7:15">
      <c r="G25" s="32"/>
      <c r="H25" s="32"/>
      <c r="I25" s="33"/>
      <c r="J25" s="33"/>
      <c r="K25" s="33"/>
      <c r="L25" s="33"/>
      <c r="M25" s="33"/>
      <c r="N25" s="34"/>
      <c r="O25" s="34"/>
    </row>
    <row r="26" spans="7:15">
      <c r="G26" s="32"/>
      <c r="H26" s="32"/>
      <c r="I26" s="33"/>
      <c r="J26" s="33"/>
      <c r="K26" s="33"/>
      <c r="L26" s="33"/>
      <c r="M26" s="33"/>
      <c r="N26" s="34"/>
      <c r="O26" s="34"/>
    </row>
    <row r="27" spans="7:15">
      <c r="G27" s="32"/>
      <c r="H27" s="35"/>
      <c r="I27" s="36"/>
      <c r="J27" s="36"/>
      <c r="K27" s="36"/>
      <c r="L27" s="36"/>
      <c r="M27" s="36"/>
      <c r="N27" s="37"/>
      <c r="O27" s="34"/>
    </row>
    <row r="28" spans="7:15">
      <c r="G28" s="35"/>
      <c r="H28" s="36"/>
      <c r="I28" s="36"/>
      <c r="J28" s="36"/>
      <c r="K28" s="36"/>
      <c r="L28" s="36"/>
      <c r="M28" s="36"/>
      <c r="N28" s="36"/>
      <c r="O28" s="37"/>
    </row>
    <row r="29" spans="7:15">
      <c r="G29" s="28"/>
      <c r="H29" s="28"/>
      <c r="I29" s="28"/>
      <c r="J29" s="28"/>
      <c r="K29" s="28"/>
      <c r="L29" s="28"/>
      <c r="M29" s="28"/>
      <c r="N29" s="28"/>
      <c r="O29" s="28"/>
    </row>
    <row r="30" spans="7:15">
      <c r="G30" s="28"/>
      <c r="H30" s="28"/>
      <c r="I30" s="28"/>
      <c r="J30" s="28"/>
      <c r="K30" s="28"/>
      <c r="L30" s="28"/>
      <c r="M30" s="28"/>
      <c r="N30" s="28"/>
      <c r="O30" s="28"/>
    </row>
    <row r="31" spans="7:15">
      <c r="G31" s="28"/>
      <c r="H31" s="28"/>
      <c r="I31" s="28"/>
      <c r="J31" s="28"/>
      <c r="K31" s="28"/>
      <c r="L31" s="28"/>
      <c r="M31" s="28"/>
      <c r="N31" s="28"/>
      <c r="O31" s="28"/>
    </row>
    <row r="32" spans="7:15">
      <c r="G32" s="28"/>
      <c r="H32" s="28"/>
      <c r="I32" s="28"/>
      <c r="J32" s="28"/>
      <c r="K32" s="28"/>
      <c r="L32" s="28"/>
      <c r="M32" s="28"/>
      <c r="N32" s="28"/>
      <c r="O32" s="28"/>
    </row>
    <row r="33" spans="7:15">
      <c r="G33" s="28"/>
      <c r="H33" s="28"/>
      <c r="I33" s="28"/>
      <c r="J33" s="28"/>
      <c r="K33" s="28"/>
      <c r="L33" s="28"/>
      <c r="M33" s="28"/>
      <c r="N33" s="28"/>
      <c r="O33" s="28"/>
    </row>
    <row r="34" spans="7:15">
      <c r="G34" s="28"/>
      <c r="H34" s="28"/>
      <c r="I34" s="28"/>
      <c r="J34" s="28"/>
      <c r="K34" s="28"/>
      <c r="L34" s="28"/>
      <c r="M34" s="28"/>
      <c r="N34" s="28"/>
      <c r="O34" s="28"/>
    </row>
  </sheetData>
  <mergeCells count="8">
    <mergeCell ref="J15:L15"/>
    <mergeCell ref="J17:L17"/>
    <mergeCell ref="J19:L19"/>
    <mergeCell ref="H5:N5"/>
    <mergeCell ref="H7:N7"/>
    <mergeCell ref="H9:N9"/>
    <mergeCell ref="H11:I11"/>
    <mergeCell ref="J13:L1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9">
    <outlinePr showOutlineSymbols="0"/>
  </sheetPr>
  <dimension ref="A1:H15"/>
  <sheetViews>
    <sheetView showGridLines="0" showRowColHeaders="0" showZeros="0" showOutlineSymbols="0" workbookViewId="0">
      <selection activeCell="A2" sqref="A2"/>
    </sheetView>
  </sheetViews>
  <sheetFormatPr defaultRowHeight="15"/>
  <cols>
    <col min="1" max="1" width="22" style="46" customWidth="1"/>
    <col min="2" max="2" width="27.42578125" style="46" customWidth="1"/>
    <col min="3" max="3" width="18.140625" style="46" customWidth="1"/>
    <col min="4" max="4" width="12.85546875" style="46" customWidth="1"/>
    <col min="5" max="5" width="27" style="46" customWidth="1"/>
    <col min="6" max="6" width="14.85546875" style="46" customWidth="1"/>
    <col min="7" max="7" width="14.42578125" style="46" customWidth="1"/>
    <col min="8" max="8" width="27.5703125" style="46" customWidth="1"/>
  </cols>
  <sheetData>
    <row r="1" spans="1:8" ht="15.75">
      <c r="A1" s="42" t="s">
        <v>31</v>
      </c>
      <c r="B1" s="42" t="s">
        <v>23</v>
      </c>
      <c r="C1" s="42" t="s">
        <v>24</v>
      </c>
      <c r="D1" s="42" t="s">
        <v>25</v>
      </c>
      <c r="E1" s="42" t="s">
        <v>26</v>
      </c>
      <c r="F1" s="42" t="s">
        <v>27</v>
      </c>
      <c r="G1" s="42" t="s">
        <v>29</v>
      </c>
      <c r="H1" s="42" t="s">
        <v>28</v>
      </c>
    </row>
    <row r="2" spans="1:8">
      <c r="A2"/>
      <c r="B2"/>
      <c r="C2"/>
      <c r="D2"/>
      <c r="E2"/>
      <c r="F2"/>
      <c r="G2"/>
      <c r="H2"/>
    </row>
    <row r="3" spans="1:8">
      <c r="A3"/>
      <c r="B3"/>
      <c r="C3"/>
      <c r="D3"/>
      <c r="E3"/>
      <c r="F3"/>
      <c r="G3"/>
      <c r="H3"/>
    </row>
    <row r="4" spans="1:8">
      <c r="A4"/>
      <c r="B4"/>
      <c r="C4"/>
      <c r="D4"/>
      <c r="E4"/>
      <c r="F4"/>
      <c r="G4"/>
      <c r="H4"/>
    </row>
    <row r="5" spans="1:8">
      <c r="A5"/>
      <c r="B5"/>
      <c r="C5"/>
      <c r="D5"/>
      <c r="E5"/>
      <c r="F5"/>
      <c r="G5"/>
      <c r="H5"/>
    </row>
    <row r="6" spans="1:8">
      <c r="A6"/>
      <c r="B6"/>
      <c r="C6"/>
      <c r="D6"/>
      <c r="E6"/>
      <c r="F6"/>
      <c r="G6"/>
      <c r="H6"/>
    </row>
    <row r="7" spans="1:8">
      <c r="A7"/>
      <c r="B7"/>
      <c r="C7"/>
      <c r="D7"/>
      <c r="E7"/>
      <c r="F7"/>
      <c r="G7"/>
      <c r="H7"/>
    </row>
    <row r="8" spans="1:8">
      <c r="A8"/>
      <c r="B8"/>
      <c r="C8"/>
      <c r="D8"/>
      <c r="E8"/>
      <c r="F8"/>
      <c r="G8"/>
      <c r="H8"/>
    </row>
    <row r="9" spans="1:8">
      <c r="A9"/>
      <c r="B9"/>
      <c r="C9"/>
      <c r="D9"/>
      <c r="E9"/>
      <c r="F9"/>
      <c r="G9"/>
      <c r="H9"/>
    </row>
    <row r="15" spans="1:8">
      <c r="H15" s="47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1">
    <outlinePr showOutlineSymbols="0"/>
  </sheetPr>
  <dimension ref="A1:B2"/>
  <sheetViews>
    <sheetView showGridLines="0" showRowColHeaders="0" showZeros="0" showOutlineSymbols="0" workbookViewId="0">
      <selection activeCell="A2" sqref="A2"/>
    </sheetView>
  </sheetViews>
  <sheetFormatPr defaultRowHeight="15"/>
  <cols>
    <col min="1" max="1" width="18.42578125" customWidth="1"/>
    <col min="2" max="2" width="18.28515625" customWidth="1"/>
  </cols>
  <sheetData>
    <row r="1" spans="1:2">
      <c r="A1" t="s">
        <v>33</v>
      </c>
      <c r="B1" t="s">
        <v>34</v>
      </c>
    </row>
    <row r="2" spans="1:2">
      <c r="B2" s="59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2">
    <outlinePr showOutlineSymbols="0"/>
  </sheetPr>
  <dimension ref="C1:T25"/>
  <sheetViews>
    <sheetView showGridLines="0" showRowColHeaders="0" showZeros="0" showOutlineSymbols="0" workbookViewId="0">
      <selection activeCell="C4" sqref="C4:G4"/>
    </sheetView>
  </sheetViews>
  <sheetFormatPr defaultRowHeight="15"/>
  <sheetData>
    <row r="1" spans="3:20" ht="34.5">
      <c r="C1" s="130" t="s">
        <v>36</v>
      </c>
      <c r="D1" s="130"/>
      <c r="E1" s="130"/>
      <c r="F1" s="130"/>
      <c r="G1" s="130"/>
      <c r="H1" s="130"/>
      <c r="J1" s="68"/>
      <c r="K1" s="69"/>
      <c r="L1" s="69"/>
      <c r="M1" s="69"/>
      <c r="N1" s="69"/>
      <c r="O1" s="69"/>
      <c r="P1" s="69"/>
      <c r="Q1" s="69"/>
      <c r="R1" s="69"/>
      <c r="S1" s="69"/>
      <c r="T1" s="70"/>
    </row>
    <row r="2" spans="3:20">
      <c r="J2" s="71"/>
      <c r="K2" s="72"/>
      <c r="L2" s="72"/>
      <c r="M2" s="72"/>
      <c r="N2" s="72"/>
      <c r="O2" s="72"/>
      <c r="P2" s="72"/>
      <c r="Q2" s="72"/>
      <c r="R2" s="72"/>
      <c r="S2" s="72"/>
      <c r="T2" s="73"/>
    </row>
    <row r="3" spans="3:20" ht="20.25">
      <c r="C3" s="131" t="s">
        <v>0</v>
      </c>
      <c r="D3" s="132"/>
      <c r="E3" s="132"/>
      <c r="F3" s="132"/>
      <c r="G3" s="132"/>
      <c r="H3" s="133"/>
      <c r="J3" s="71"/>
      <c r="K3" s="72"/>
      <c r="L3" s="72"/>
      <c r="M3" s="72"/>
      <c r="N3" s="72"/>
      <c r="O3" s="72"/>
      <c r="P3" s="72"/>
      <c r="Q3" s="72"/>
      <c r="R3" s="72"/>
      <c r="S3" s="72"/>
      <c r="T3" s="73"/>
    </row>
    <row r="4" spans="3:20">
      <c r="C4" s="135"/>
      <c r="D4" s="136"/>
      <c r="E4" s="136"/>
      <c r="F4" s="136"/>
      <c r="G4" s="136"/>
      <c r="H4" s="77"/>
      <c r="J4" s="71"/>
      <c r="K4" s="72"/>
      <c r="L4" s="72"/>
      <c r="M4" s="72"/>
      <c r="N4" s="72"/>
      <c r="O4" s="72"/>
      <c r="P4" s="72"/>
      <c r="Q4" s="72"/>
      <c r="R4" s="72"/>
      <c r="S4" s="72"/>
      <c r="T4" s="73"/>
    </row>
    <row r="5" spans="3:20" ht="20.25">
      <c r="C5" s="131" t="s">
        <v>37</v>
      </c>
      <c r="D5" s="134"/>
      <c r="E5" s="131" t="s">
        <v>38</v>
      </c>
      <c r="F5" s="134"/>
      <c r="G5" s="131" t="s">
        <v>39</v>
      </c>
      <c r="H5" s="134"/>
      <c r="J5" s="71"/>
      <c r="K5" s="72"/>
      <c r="L5" s="72"/>
      <c r="M5" s="72"/>
      <c r="N5" s="72"/>
      <c r="O5" s="72"/>
      <c r="P5" s="72"/>
      <c r="Q5" s="72"/>
      <c r="R5" s="72"/>
      <c r="S5" s="72"/>
      <c r="T5" s="73"/>
    </row>
    <row r="6" spans="3:20">
      <c r="C6" s="135"/>
      <c r="D6" s="150"/>
      <c r="E6" s="151"/>
      <c r="F6" s="152"/>
      <c r="G6" s="148"/>
      <c r="H6" s="149"/>
      <c r="J6" s="71"/>
      <c r="K6" s="72"/>
      <c r="L6" s="72"/>
      <c r="M6" s="72"/>
      <c r="N6" s="72"/>
      <c r="O6" s="72"/>
      <c r="P6" s="72"/>
      <c r="Q6" s="72"/>
      <c r="R6" s="72"/>
      <c r="S6" s="72"/>
      <c r="T6" s="73"/>
    </row>
    <row r="7" spans="3:20" ht="20.25">
      <c r="C7" s="131" t="s">
        <v>40</v>
      </c>
      <c r="D7" s="146"/>
      <c r="E7" s="146"/>
      <c r="F7" s="146"/>
      <c r="G7" s="146"/>
      <c r="H7" s="147"/>
      <c r="J7" s="71"/>
      <c r="K7" s="72"/>
      <c r="L7" s="72"/>
      <c r="M7" s="72"/>
      <c r="N7" s="72"/>
      <c r="O7" s="72"/>
      <c r="P7" s="72"/>
      <c r="Q7" s="72"/>
      <c r="R7" s="72"/>
      <c r="S7" s="72"/>
      <c r="T7" s="73"/>
    </row>
    <row r="8" spans="3:20">
      <c r="C8" s="137">
        <f>SUM(BDvalores!A:A)</f>
        <v>0</v>
      </c>
      <c r="D8" s="138"/>
      <c r="E8" s="138"/>
      <c r="F8" s="138"/>
      <c r="G8" s="138"/>
      <c r="H8" s="139"/>
      <c r="J8" s="71"/>
      <c r="K8" s="72"/>
      <c r="L8" s="72"/>
      <c r="M8" s="72"/>
      <c r="N8" s="72"/>
      <c r="O8" s="72"/>
      <c r="P8" s="72"/>
      <c r="Q8" s="72"/>
      <c r="R8" s="72"/>
      <c r="S8" s="72"/>
      <c r="T8" s="73"/>
    </row>
    <row r="9" spans="3:20">
      <c r="C9" s="140"/>
      <c r="D9" s="141"/>
      <c r="E9" s="141"/>
      <c r="F9" s="141"/>
      <c r="G9" s="141"/>
      <c r="H9" s="142"/>
      <c r="J9" s="71"/>
      <c r="K9" s="72"/>
      <c r="L9" s="72"/>
      <c r="M9" s="72"/>
      <c r="N9" s="72"/>
      <c r="O9" s="72"/>
      <c r="P9" s="72"/>
      <c r="Q9" s="72"/>
      <c r="R9" s="72"/>
      <c r="S9" s="72"/>
      <c r="T9" s="73"/>
    </row>
    <row r="10" spans="3:20">
      <c r="C10" s="140"/>
      <c r="D10" s="141"/>
      <c r="E10" s="141"/>
      <c r="F10" s="141"/>
      <c r="G10" s="141"/>
      <c r="H10" s="142"/>
      <c r="J10" s="71"/>
      <c r="K10" s="72"/>
      <c r="L10" s="72"/>
      <c r="M10" s="72"/>
      <c r="N10" s="72"/>
      <c r="O10" s="72"/>
      <c r="P10" s="72"/>
      <c r="Q10" s="72"/>
      <c r="R10" s="72"/>
      <c r="S10" s="72"/>
      <c r="T10" s="73"/>
    </row>
    <row r="11" spans="3:20">
      <c r="C11" s="140"/>
      <c r="D11" s="141"/>
      <c r="E11" s="141"/>
      <c r="F11" s="141"/>
      <c r="G11" s="141"/>
      <c r="H11" s="142"/>
      <c r="J11" s="71"/>
      <c r="K11" s="72"/>
      <c r="L11" s="72"/>
      <c r="M11" s="72"/>
      <c r="N11" s="72"/>
      <c r="O11" s="72"/>
      <c r="P11" s="72"/>
      <c r="Q11" s="72"/>
      <c r="R11" s="72"/>
      <c r="S11" s="72"/>
      <c r="T11" s="73"/>
    </row>
    <row r="12" spans="3:20">
      <c r="C12" s="140"/>
      <c r="D12" s="141"/>
      <c r="E12" s="141"/>
      <c r="F12" s="141"/>
      <c r="G12" s="141"/>
      <c r="H12" s="142"/>
      <c r="J12" s="71"/>
      <c r="K12" s="72"/>
      <c r="L12" s="72"/>
      <c r="M12" s="72"/>
      <c r="N12" s="72"/>
      <c r="O12" s="72"/>
      <c r="P12" s="72"/>
      <c r="Q12" s="72"/>
      <c r="R12" s="72"/>
      <c r="S12" s="72"/>
      <c r="T12" s="73"/>
    </row>
    <row r="13" spans="3:20">
      <c r="C13" s="140"/>
      <c r="D13" s="141"/>
      <c r="E13" s="141"/>
      <c r="F13" s="141"/>
      <c r="G13" s="141"/>
      <c r="H13" s="142"/>
      <c r="J13" s="71"/>
      <c r="K13" s="72"/>
      <c r="L13" s="72"/>
      <c r="M13" s="72"/>
      <c r="N13" s="72"/>
      <c r="O13" s="72"/>
      <c r="P13" s="72"/>
      <c r="Q13" s="72"/>
      <c r="R13" s="72"/>
      <c r="S13" s="72"/>
      <c r="T13" s="73"/>
    </row>
    <row r="14" spans="3:20">
      <c r="C14" s="143"/>
      <c r="D14" s="144"/>
      <c r="E14" s="144"/>
      <c r="F14" s="144"/>
      <c r="G14" s="144"/>
      <c r="H14" s="145"/>
      <c r="J14" s="71"/>
      <c r="K14" s="72"/>
      <c r="L14" s="72"/>
      <c r="M14" s="72"/>
      <c r="N14" s="72"/>
      <c r="O14" s="72"/>
      <c r="P14" s="72"/>
      <c r="Q14" s="72"/>
      <c r="R14" s="72"/>
      <c r="S14" s="72"/>
      <c r="T14" s="73"/>
    </row>
    <row r="15" spans="3:20">
      <c r="C15" s="71"/>
      <c r="D15" s="72"/>
      <c r="E15" s="72"/>
      <c r="F15" s="72"/>
      <c r="G15" s="72"/>
      <c r="H15" s="73"/>
      <c r="J15" s="71"/>
      <c r="K15" s="72"/>
      <c r="L15" s="72"/>
      <c r="M15" s="72"/>
      <c r="N15" s="72"/>
      <c r="O15" s="72"/>
      <c r="P15" s="72"/>
      <c r="Q15" s="72"/>
      <c r="R15" s="72"/>
      <c r="S15" s="72"/>
      <c r="T15" s="73"/>
    </row>
    <row r="16" spans="3:20">
      <c r="C16" s="71"/>
      <c r="D16" s="72"/>
      <c r="E16" s="72"/>
      <c r="F16" s="72"/>
      <c r="G16" s="72"/>
      <c r="H16" s="73"/>
      <c r="J16" s="71"/>
      <c r="K16" s="72"/>
      <c r="L16" s="72"/>
      <c r="M16" s="72"/>
      <c r="N16" s="72"/>
      <c r="O16" s="72"/>
      <c r="P16" s="72"/>
      <c r="Q16" s="72"/>
      <c r="R16" s="72"/>
      <c r="S16" s="72"/>
      <c r="T16" s="73"/>
    </row>
    <row r="17" spans="3:20">
      <c r="C17" s="71"/>
      <c r="D17" s="72"/>
      <c r="E17" s="72"/>
      <c r="F17" s="72"/>
      <c r="G17" s="72"/>
      <c r="H17" s="73"/>
      <c r="J17" s="71"/>
      <c r="K17" s="72"/>
      <c r="L17" s="72"/>
      <c r="M17" s="72"/>
      <c r="N17" s="72"/>
      <c r="O17" s="72"/>
      <c r="P17" s="72"/>
      <c r="Q17" s="72"/>
      <c r="R17" s="72"/>
      <c r="S17" s="72"/>
      <c r="T17" s="73"/>
    </row>
    <row r="18" spans="3:20">
      <c r="C18" s="74"/>
      <c r="D18" s="75"/>
      <c r="E18" s="75"/>
      <c r="F18" s="75"/>
      <c r="G18" s="75"/>
      <c r="H18" s="76"/>
      <c r="J18" s="71"/>
      <c r="K18" s="72"/>
      <c r="L18" s="72"/>
      <c r="M18" s="72"/>
      <c r="N18" s="72"/>
      <c r="O18" s="72"/>
      <c r="P18" s="72"/>
      <c r="Q18" s="72"/>
      <c r="R18" s="72"/>
      <c r="S18" s="72"/>
      <c r="T18" s="73"/>
    </row>
    <row r="19" spans="3:20">
      <c r="J19" s="71"/>
      <c r="K19" s="72"/>
      <c r="L19" s="72"/>
      <c r="M19" s="72"/>
      <c r="N19" s="72"/>
      <c r="O19" s="72"/>
      <c r="P19" s="72"/>
      <c r="Q19" s="72"/>
      <c r="R19" s="72"/>
      <c r="S19" s="72"/>
      <c r="T19" s="73"/>
    </row>
    <row r="20" spans="3:20">
      <c r="J20" s="71"/>
      <c r="K20" s="72"/>
      <c r="L20" s="72"/>
      <c r="M20" s="72"/>
      <c r="N20" s="72"/>
      <c r="O20" s="72"/>
      <c r="P20" s="72"/>
      <c r="Q20" s="72"/>
      <c r="R20" s="72"/>
      <c r="S20" s="72"/>
      <c r="T20" s="73"/>
    </row>
    <row r="21" spans="3:20">
      <c r="J21" s="71"/>
      <c r="K21" s="72"/>
      <c r="L21" s="72"/>
      <c r="M21" s="72"/>
      <c r="N21" s="72"/>
      <c r="O21" s="72"/>
      <c r="P21" s="72"/>
      <c r="Q21" s="72"/>
      <c r="R21" s="72"/>
      <c r="S21" s="72"/>
      <c r="T21" s="73"/>
    </row>
    <row r="22" spans="3:20">
      <c r="J22" s="71"/>
      <c r="K22" s="72"/>
      <c r="L22" s="72"/>
      <c r="M22" s="72"/>
      <c r="N22" s="72"/>
      <c r="O22" s="72"/>
      <c r="P22" s="72"/>
      <c r="Q22" s="72"/>
      <c r="R22" s="72"/>
      <c r="S22" s="72"/>
      <c r="T22" s="73"/>
    </row>
    <row r="23" spans="3:20">
      <c r="J23" s="71"/>
      <c r="K23" s="72"/>
      <c r="L23" s="72"/>
      <c r="M23" s="72"/>
      <c r="N23" s="72"/>
      <c r="O23" s="72"/>
      <c r="P23" s="72"/>
      <c r="Q23" s="72"/>
      <c r="R23" s="72"/>
      <c r="S23" s="72"/>
      <c r="T23" s="73"/>
    </row>
    <row r="24" spans="3:20">
      <c r="J24" s="71"/>
      <c r="K24" s="72"/>
      <c r="L24" s="72"/>
      <c r="M24" s="72"/>
      <c r="N24" s="72"/>
      <c r="O24" s="72"/>
      <c r="P24" s="72"/>
      <c r="Q24" s="72"/>
      <c r="R24" s="72"/>
      <c r="S24" s="72"/>
      <c r="T24" s="73"/>
    </row>
    <row r="25" spans="3:20">
      <c r="J25" s="74"/>
      <c r="K25" s="75"/>
      <c r="L25" s="75"/>
      <c r="M25" s="75"/>
      <c r="N25" s="75"/>
      <c r="O25" s="75"/>
      <c r="P25" s="75"/>
      <c r="Q25" s="75"/>
      <c r="R25" s="75"/>
      <c r="S25" s="75"/>
      <c r="T25" s="76"/>
    </row>
  </sheetData>
  <mergeCells count="11">
    <mergeCell ref="C1:H1"/>
    <mergeCell ref="C3:H3"/>
    <mergeCell ref="G5:H5"/>
    <mergeCell ref="C4:G4"/>
    <mergeCell ref="C8:H14"/>
    <mergeCell ref="C7:H7"/>
    <mergeCell ref="G6:H6"/>
    <mergeCell ref="C6:D6"/>
    <mergeCell ref="C5:D5"/>
    <mergeCell ref="E5:F5"/>
    <mergeCell ref="E6:F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Inicio</vt:lpstr>
      <vt:lpstr>Abrir</vt:lpstr>
      <vt:lpstr>caixa livre</vt:lpstr>
      <vt:lpstr>caixa</vt:lpstr>
      <vt:lpstr>quantidade</vt:lpstr>
      <vt:lpstr>BDvalores</vt:lpstr>
      <vt:lpstr>Cadservicos</vt:lpstr>
      <vt:lpstr>BDserviços</vt:lpstr>
      <vt:lpstr>Cadcliente</vt:lpstr>
      <vt:lpstr>BDcliente</vt:lpstr>
      <vt:lpstr>codigo</vt:lpstr>
      <vt:lpstr>Fechamento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Wallace ...</dc:creator>
  <cp:lastModifiedBy>Wallace ...</cp:lastModifiedBy>
  <dcterms:created xsi:type="dcterms:W3CDTF">2019-03-27T00:31:37Z</dcterms:created>
  <dcterms:modified xsi:type="dcterms:W3CDTF">2019-04-05T16:59:18Z</dcterms:modified>
</cp:coreProperties>
</file>